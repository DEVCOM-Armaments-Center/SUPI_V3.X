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thew.t.sargent.AC\AppData\Local\Temp\Releases\Snapshot\1\Assembly\BOM\"/>
    </mc:Choice>
  </mc:AlternateContent>
  <xr:revisionPtr revIDLastSave="0" documentId="8_{50206D71-6E7C-4317-BB33-BD98B63C49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definedNames>
    <definedName name="_xlnm.Print_Titles" localSheetId="0">'Bill of Materials'!$1:$6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M32" i="1" s="1"/>
  <c r="B32" i="1"/>
  <c r="H31" i="1"/>
  <c r="M31" i="1" s="1"/>
  <c r="B31" i="1"/>
  <c r="H30" i="1"/>
  <c r="J30" i="1" s="1"/>
  <c r="B30" i="1"/>
  <c r="H29" i="1"/>
  <c r="M29" i="1" s="1"/>
  <c r="B29" i="1"/>
  <c r="H28" i="1"/>
  <c r="M28" i="1" s="1"/>
  <c r="B28" i="1"/>
  <c r="H27" i="1"/>
  <c r="J27" i="1" s="1"/>
  <c r="B27" i="1"/>
  <c r="H26" i="1"/>
  <c r="M26" i="1" s="1"/>
  <c r="B26" i="1"/>
  <c r="H25" i="1"/>
  <c r="M25" i="1" s="1"/>
  <c r="B25" i="1"/>
  <c r="H24" i="1"/>
  <c r="M24" i="1" s="1"/>
  <c r="B24" i="1"/>
  <c r="H23" i="1"/>
  <c r="M23" i="1" s="1"/>
  <c r="B23" i="1"/>
  <c r="H22" i="1"/>
  <c r="M22" i="1" s="1"/>
  <c r="B22" i="1"/>
  <c r="H21" i="1"/>
  <c r="J21" i="1" s="1"/>
  <c r="B21" i="1"/>
  <c r="H20" i="1"/>
  <c r="M20" i="1" s="1"/>
  <c r="B20" i="1"/>
  <c r="H19" i="1"/>
  <c r="M19" i="1" s="1"/>
  <c r="B19" i="1"/>
  <c r="H18" i="1"/>
  <c r="M18" i="1" s="1"/>
  <c r="B18" i="1"/>
  <c r="H17" i="1"/>
  <c r="M17" i="1" s="1"/>
  <c r="B17" i="1"/>
  <c r="H16" i="1"/>
  <c r="M16" i="1" s="1"/>
  <c r="B16" i="1"/>
  <c r="H15" i="1"/>
  <c r="M15" i="1" s="1"/>
  <c r="B15" i="1"/>
  <c r="H14" i="1"/>
  <c r="M14" i="1" s="1"/>
  <c r="B14" i="1"/>
  <c r="H13" i="1"/>
  <c r="J13" i="1" s="1"/>
  <c r="B13" i="1"/>
  <c r="H12" i="1"/>
  <c r="M12" i="1" s="1"/>
  <c r="B12" i="1"/>
  <c r="M11" i="1"/>
  <c r="J11" i="1"/>
  <c r="H11" i="1"/>
  <c r="B11" i="1"/>
  <c r="H10" i="1"/>
  <c r="M10" i="1" s="1"/>
  <c r="B10" i="1"/>
  <c r="H9" i="1"/>
  <c r="J9" i="1" s="1"/>
  <c r="B9" i="1"/>
  <c r="H7" i="1"/>
  <c r="M7" i="1" s="1"/>
  <c r="H8" i="1"/>
  <c r="M8" i="1" s="1"/>
  <c r="H33" i="1"/>
  <c r="M33" i="1" s="1"/>
  <c r="H34" i="1"/>
  <c r="M34" i="1" s="1"/>
  <c r="H35" i="1"/>
  <c r="M35" i="1" s="1"/>
  <c r="H36" i="1"/>
  <c r="M36" i="1" s="1"/>
  <c r="H37" i="1"/>
  <c r="M37" i="1" s="1"/>
  <c r="H38" i="1"/>
  <c r="M38" i="1" s="1"/>
  <c r="H39" i="1"/>
  <c r="M39" i="1" s="1"/>
  <c r="H40" i="1"/>
  <c r="M40" i="1" s="1"/>
  <c r="H41" i="1"/>
  <c r="M41" i="1" s="1"/>
  <c r="H42" i="1"/>
  <c r="M42" i="1" s="1"/>
  <c r="H43" i="1"/>
  <c r="M43" i="1" s="1"/>
  <c r="H44" i="1"/>
  <c r="M44" i="1" s="1"/>
  <c r="H45" i="1"/>
  <c r="M45" i="1" s="1"/>
  <c r="H46" i="1"/>
  <c r="M46" i="1" s="1"/>
  <c r="H47" i="1"/>
  <c r="M47" i="1" s="1"/>
  <c r="H48" i="1"/>
  <c r="M48" i="1" s="1"/>
  <c r="H49" i="1"/>
  <c r="M49" i="1" s="1"/>
  <c r="H50" i="1"/>
  <c r="M50" i="1" s="1"/>
  <c r="H51" i="1"/>
  <c r="M51" i="1" s="1"/>
  <c r="H52" i="1"/>
  <c r="M52" i="1" s="1"/>
  <c r="H53" i="1"/>
  <c r="M53" i="1" s="1"/>
  <c r="H54" i="1"/>
  <c r="M54" i="1" s="1"/>
  <c r="H55" i="1"/>
  <c r="M55" i="1" s="1"/>
  <c r="H56" i="1"/>
  <c r="M56" i="1" s="1"/>
  <c r="H57" i="1"/>
  <c r="M57" i="1" s="1"/>
  <c r="H58" i="1"/>
  <c r="M58" i="1" s="1"/>
  <c r="H59" i="1"/>
  <c r="M59" i="1" s="1"/>
  <c r="H60" i="1"/>
  <c r="M60" i="1" s="1"/>
  <c r="H61" i="1"/>
  <c r="M61" i="1" s="1"/>
  <c r="H62" i="1"/>
  <c r="M62" i="1" s="1"/>
  <c r="H63" i="1"/>
  <c r="M63" i="1" s="1"/>
  <c r="H64" i="1"/>
  <c r="M64" i="1" s="1"/>
  <c r="H65" i="1"/>
  <c r="M65" i="1" s="1"/>
  <c r="H66" i="1"/>
  <c r="M66" i="1" s="1"/>
  <c r="H67" i="1"/>
  <c r="M67" i="1" s="1"/>
  <c r="H68" i="1"/>
  <c r="M68" i="1" s="1"/>
  <c r="H69" i="1"/>
  <c r="M69" i="1" s="1"/>
  <c r="H70" i="1"/>
  <c r="M70" i="1" s="1"/>
  <c r="H71" i="1"/>
  <c r="M71" i="1" s="1"/>
  <c r="H72" i="1"/>
  <c r="M72" i="1" s="1"/>
  <c r="H73" i="1"/>
  <c r="M73" i="1" s="1"/>
  <c r="H74" i="1"/>
  <c r="M74" i="1" s="1"/>
  <c r="H75" i="1"/>
  <c r="M75" i="1" s="1"/>
  <c r="H76" i="1"/>
  <c r="M76" i="1" s="1"/>
  <c r="H77" i="1"/>
  <c r="M77" i="1" s="1"/>
  <c r="H78" i="1"/>
  <c r="M78" i="1" s="1"/>
  <c r="H79" i="1"/>
  <c r="M79" i="1" s="1"/>
  <c r="H80" i="1"/>
  <c r="M80" i="1" s="1"/>
  <c r="H81" i="1"/>
  <c r="M81" i="1" s="1"/>
  <c r="H82" i="1"/>
  <c r="M82" i="1" s="1"/>
  <c r="H83" i="1"/>
  <c r="M83" i="1" s="1"/>
  <c r="H84" i="1"/>
  <c r="M84" i="1" s="1"/>
  <c r="H85" i="1"/>
  <c r="M85" i="1" s="1"/>
  <c r="H86" i="1"/>
  <c r="M86" i="1" s="1"/>
  <c r="H87" i="1"/>
  <c r="M87" i="1" s="1"/>
  <c r="H88" i="1"/>
  <c r="M88" i="1" s="1"/>
  <c r="H89" i="1"/>
  <c r="M89" i="1" s="1"/>
  <c r="H90" i="1"/>
  <c r="M90" i="1" s="1"/>
  <c r="H91" i="1"/>
  <c r="M91" i="1" s="1"/>
  <c r="H92" i="1"/>
  <c r="M92" i="1" s="1"/>
  <c r="H93" i="1"/>
  <c r="M93" i="1" s="1"/>
  <c r="H94" i="1"/>
  <c r="M94" i="1" s="1"/>
  <c r="H95" i="1"/>
  <c r="M95" i="1" s="1"/>
  <c r="H96" i="1"/>
  <c r="M96" i="1" s="1"/>
  <c r="H97" i="1"/>
  <c r="M97" i="1" s="1"/>
  <c r="H98" i="1"/>
  <c r="M98" i="1" s="1"/>
  <c r="H99" i="1"/>
  <c r="M99" i="1" s="1"/>
  <c r="H100" i="1"/>
  <c r="M100" i="1" s="1"/>
  <c r="H101" i="1"/>
  <c r="M101" i="1" s="1"/>
  <c r="H102" i="1"/>
  <c r="M102" i="1" s="1"/>
  <c r="H103" i="1"/>
  <c r="M103" i="1" s="1"/>
  <c r="H104" i="1"/>
  <c r="M104" i="1" s="1"/>
  <c r="H105" i="1"/>
  <c r="M105" i="1" s="1"/>
  <c r="H106" i="1"/>
  <c r="M106" i="1" s="1"/>
  <c r="H107" i="1"/>
  <c r="M107" i="1" s="1"/>
  <c r="H108" i="1"/>
  <c r="M108" i="1" s="1"/>
  <c r="H109" i="1"/>
  <c r="M109" i="1" s="1"/>
  <c r="H110" i="1"/>
  <c r="M110" i="1" s="1"/>
  <c r="H111" i="1"/>
  <c r="M111" i="1" s="1"/>
  <c r="H112" i="1"/>
  <c r="M112" i="1" s="1"/>
  <c r="H113" i="1"/>
  <c r="M113" i="1" s="1"/>
  <c r="H114" i="1"/>
  <c r="M114" i="1" s="1"/>
  <c r="H115" i="1"/>
  <c r="M115" i="1" s="1"/>
  <c r="J12" i="1" l="1"/>
  <c r="J14" i="1"/>
  <c r="M27" i="1"/>
  <c r="M30" i="1"/>
  <c r="J25" i="1"/>
  <c r="J28" i="1"/>
  <c r="J31" i="1"/>
  <c r="J24" i="1"/>
  <c r="J23" i="1"/>
  <c r="J26" i="1"/>
  <c r="J29" i="1"/>
  <c r="J32" i="1"/>
  <c r="J20" i="1"/>
  <c r="M21" i="1"/>
  <c r="J17" i="1"/>
  <c r="J15" i="1"/>
  <c r="J18" i="1"/>
  <c r="J16" i="1"/>
  <c r="J19" i="1"/>
  <c r="J22" i="1"/>
  <c r="M13" i="1"/>
  <c r="M9" i="1"/>
  <c r="J10" i="1"/>
  <c r="J93" i="1"/>
  <c r="J85" i="1"/>
  <c r="J77" i="1"/>
  <c r="J69" i="1"/>
  <c r="J61" i="1"/>
  <c r="J53" i="1"/>
  <c r="J109" i="1"/>
  <c r="J45" i="1"/>
  <c r="J101" i="1"/>
  <c r="J37" i="1"/>
  <c r="J108" i="1"/>
  <c r="J100" i="1"/>
  <c r="J92" i="1"/>
  <c r="J84" i="1"/>
  <c r="J76" i="1"/>
  <c r="J68" i="1"/>
  <c r="J60" i="1"/>
  <c r="J52" i="1"/>
  <c r="J44" i="1"/>
  <c r="J36" i="1"/>
  <c r="J115" i="1"/>
  <c r="J107" i="1"/>
  <c r="J99" i="1"/>
  <c r="J91" i="1"/>
  <c r="J83" i="1"/>
  <c r="J75" i="1"/>
  <c r="J67" i="1"/>
  <c r="J59" i="1"/>
  <c r="J51" i="1"/>
  <c r="J43" i="1"/>
  <c r="J35" i="1"/>
  <c r="J114" i="1"/>
  <c r="J106" i="1"/>
  <c r="J98" i="1"/>
  <c r="J90" i="1"/>
  <c r="J82" i="1"/>
  <c r="J74" i="1"/>
  <c r="J66" i="1"/>
  <c r="J58" i="1"/>
  <c r="J50" i="1"/>
  <c r="J42" i="1"/>
  <c r="J34" i="1"/>
  <c r="J113" i="1"/>
  <c r="J105" i="1"/>
  <c r="J97" i="1"/>
  <c r="J89" i="1"/>
  <c r="J81" i="1"/>
  <c r="J73" i="1"/>
  <c r="J65" i="1"/>
  <c r="J57" i="1"/>
  <c r="J49" i="1"/>
  <c r="J41" i="1"/>
  <c r="J33" i="1"/>
  <c r="J112" i="1"/>
  <c r="J104" i="1"/>
  <c r="J96" i="1"/>
  <c r="J88" i="1"/>
  <c r="J80" i="1"/>
  <c r="J72" i="1"/>
  <c r="J64" i="1"/>
  <c r="J56" i="1"/>
  <c r="J48" i="1"/>
  <c r="J40" i="1"/>
  <c r="J111" i="1"/>
  <c r="J103" i="1"/>
  <c r="J95" i="1"/>
  <c r="J87" i="1"/>
  <c r="J79" i="1"/>
  <c r="J71" i="1"/>
  <c r="J63" i="1"/>
  <c r="J55" i="1"/>
  <c r="J47" i="1"/>
  <c r="J39" i="1"/>
  <c r="J8" i="1"/>
  <c r="J110" i="1"/>
  <c r="J102" i="1"/>
  <c r="J94" i="1"/>
  <c r="J86" i="1"/>
  <c r="J78" i="1"/>
  <c r="J70" i="1"/>
  <c r="J62" i="1"/>
  <c r="J54" i="1"/>
  <c r="J46" i="1"/>
  <c r="J38" i="1"/>
  <c r="J7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8" i="1" l="1"/>
  <c r="B33" i="1"/>
  <c r="H3" i="1"/>
  <c r="B7" i="1"/>
  <c r="B34" i="1"/>
  <c r="B35" i="1"/>
  <c r="B36" i="1"/>
</calcChain>
</file>

<file path=xl/sharedStrings.xml><?xml version="1.0" encoding="utf-8"?>
<sst xmlns="http://schemas.openxmlformats.org/spreadsheetml/2006/main" count="176" uniqueCount="143">
  <si>
    <t xml:space="preserve"> Bill of Materials</t>
  </si>
  <si>
    <t>Assembly Part Number:</t>
  </si>
  <si>
    <t>Barcode</t>
  </si>
  <si>
    <t>Qty:</t>
  </si>
  <si>
    <t>Revision:</t>
  </si>
  <si>
    <t>Date:</t>
  </si>
  <si>
    <t>PRF#</t>
  </si>
  <si>
    <t>Status</t>
  </si>
  <si>
    <t>Need</t>
  </si>
  <si>
    <t>Order</t>
  </si>
  <si>
    <t>Receive</t>
  </si>
  <si>
    <t/>
  </si>
  <si>
    <t>1</t>
  </si>
  <si>
    <t>&lt;Parameter VersionControl_ProjFolderRevNumber not found&gt;</t>
  </si>
  <si>
    <t>6/16/2026</t>
  </si>
  <si>
    <t>FIND NO</t>
  </si>
  <si>
    <t>REFERENCE DESIGNATION</t>
  </si>
  <si>
    <t>C1</t>
  </si>
  <si>
    <t>C2</t>
  </si>
  <si>
    <t>C3, C4</t>
  </si>
  <si>
    <t>C5, C6</t>
  </si>
  <si>
    <t>C7, C8, C9, C10, C11, C12, C13, C17</t>
  </si>
  <si>
    <t>C14</t>
  </si>
  <si>
    <t>C15, C16</t>
  </si>
  <si>
    <t>D1</t>
  </si>
  <si>
    <t>D2</t>
  </si>
  <si>
    <t>D3</t>
  </si>
  <si>
    <t>D4, D5</t>
  </si>
  <si>
    <t>J1, J2</t>
  </si>
  <si>
    <t>L1</t>
  </si>
  <si>
    <t>L2</t>
  </si>
  <si>
    <t>P5</t>
  </si>
  <si>
    <t>R1</t>
  </si>
  <si>
    <t>R2</t>
  </si>
  <si>
    <t>R3</t>
  </si>
  <si>
    <t>R4, R5, R8, R15</t>
  </si>
  <si>
    <t>R6, R7</t>
  </si>
  <si>
    <t>R13, R14</t>
  </si>
  <si>
    <t>U1</t>
  </si>
  <si>
    <t>U2</t>
  </si>
  <si>
    <t>U3</t>
  </si>
  <si>
    <t>U4</t>
  </si>
  <si>
    <t>U6</t>
  </si>
  <si>
    <t>QTY</t>
  </si>
  <si>
    <t>DESCRIPTION</t>
  </si>
  <si>
    <t>CAP 0402 4700PF 50V 10% X7R</t>
  </si>
  <si>
    <t>CAP 0805 0.33uF 50V 10% X7R CER</t>
  </si>
  <si>
    <t>CAP 0805 10UF 50V 10% X5R</t>
  </si>
  <si>
    <t>CAP 0805 22UF 16V 20% X5R</t>
  </si>
  <si>
    <t>Multilayer Ceramic Capacitor, 0.1 uF, 25 V, ± 10%, X7R, 0402 [1005 Metric]</t>
  </si>
  <si>
    <t>Cap Ceramic 4.7uF 6.3V JB 10% SMD 0402 85°C Punched Paper T/R</t>
  </si>
  <si>
    <t xml:space="preserve">CAP 0402 47pF 50V 5% C0G/NP0 </t>
  </si>
  <si>
    <t>SMF Series 200 W 26 V Uni-Directional Surface Mount TVS Diode - SOD-123F</t>
  </si>
  <si>
    <t>TVS Diodes &amp; ESD Suppressors; P4FL3.3A_R1_00001; PANJIT; 3.3 V; 5.2 V</t>
  </si>
  <si>
    <t>DIODE SCHOTTKY 60V 3A SOD123HE</t>
  </si>
  <si>
    <t>Red 625nm LED Indication - Discrete 2.2V 0805</t>
  </si>
  <si>
    <t>Conn Shrouded Header (4 Sides) HDR 4 POS 1.25mm Solder RA Side Entry SMD T/R</t>
  </si>
  <si>
    <t>Ferrite Bead, Aec-Q200, 0806, 1A Rohs Compliant: Yes |Tdk MDF2016BSS270CTD25</t>
  </si>
  <si>
    <t>FIXED IND 2.2UH 3A 72 MOHM SMD</t>
  </si>
  <si>
    <t>Board Connector, 9 Contact(s), 1 Row(s), Male, Right Angle, Solder Terminal</t>
  </si>
  <si>
    <t>Res 0402 100 Ohm 0.1W 1% Thick Film</t>
  </si>
  <si>
    <t>Res 0402 52.3K 1/10W 1% Thick Flim</t>
  </si>
  <si>
    <t>Res 0402 113K 1/10W 1% Thick Flim</t>
  </si>
  <si>
    <t>RES 0402 10K 1/10W 1%</t>
  </si>
  <si>
    <t>Res 0402 0 Ohm 1/16W 5% Thick Film</t>
  </si>
  <si>
    <t>RES 0402 499 OHM 1/10W 1%</t>
  </si>
  <si>
    <t>IC EEPROM 1KBIT 1-WIRE 6TDFN</t>
  </si>
  <si>
    <t>IC BUCK CONVERTER 48V 2MHZ</t>
  </si>
  <si>
    <t>Power Distribution Switch, Current-Limiting (Fixed and Adjustable) Adjustable, Enable H</t>
  </si>
  <si>
    <t>Supervisor Open Drain or Open Collector 1 Channel 6-WSON (1.5x1.5)</t>
  </si>
  <si>
    <t>USB Bridge, USB to UART USB 2.0 UART Interface 32-QFN (5x5)</t>
  </si>
  <si>
    <t>PART NUMBER</t>
  </si>
  <si>
    <t>C0402C472K5RACTU</t>
  </si>
  <si>
    <t>C0805C334K5RACTU</t>
  </si>
  <si>
    <t>CC0805KKX5R9BB106</t>
  </si>
  <si>
    <t>C2012X5R1C226M125AC</t>
  </si>
  <si>
    <t>CL05B104KA5NNNC</t>
  </si>
  <si>
    <t>CL05A475KQ5NRNC</t>
  </si>
  <si>
    <t>LD025A470JAB2A</t>
  </si>
  <si>
    <t>SMF26A</t>
  </si>
  <si>
    <t>P4FL3.3A_R1_00001</t>
  </si>
  <si>
    <t>SS3060HE_R1_00001</t>
  </si>
  <si>
    <t>APT2012SECK/J3-PRV</t>
  </si>
  <si>
    <t>SM04B-SRSS-TB</t>
  </si>
  <si>
    <t>MDF2016BSS270CTD25</t>
  </si>
  <si>
    <t>5-2176797-4</t>
  </si>
  <si>
    <t>829-22-009-20-001101</t>
  </si>
  <si>
    <t>ERJ-2RKF1000X</t>
  </si>
  <si>
    <t>ERJ2RKF5232X</t>
  </si>
  <si>
    <t>ERJ-2RKF1133X</t>
  </si>
  <si>
    <t>RK73H1ETTPD1002F</t>
  </si>
  <si>
    <t>RC0402JR-070RL</t>
  </si>
  <si>
    <t>RK73H1ETTP4990F</t>
  </si>
  <si>
    <t>DS2431Q+T&amp;R</t>
  </si>
  <si>
    <t>MCP16361T-E/NMX</t>
  </si>
  <si>
    <t>NCP380HMUAJAATBG</t>
  </si>
  <si>
    <t>TPS389030DSER</t>
  </si>
  <si>
    <t>FT232RNQ-TRAY</t>
  </si>
  <si>
    <t>Footprint</t>
  </si>
  <si>
    <t>CAP-0402-A</t>
  </si>
  <si>
    <t>CAP-0805-A</t>
  </si>
  <si>
    <t>CAP-0805-C</t>
  </si>
  <si>
    <t>DI-SOD123F-A</t>
  </si>
  <si>
    <t>DI-SOD123HE-A</t>
  </si>
  <si>
    <t>LED-0805-G-A</t>
  </si>
  <si>
    <t>IND-0806-A</t>
  </si>
  <si>
    <t>IND-1210-A</t>
  </si>
  <si>
    <t>RES-0402-B</t>
  </si>
  <si>
    <t>RES-0402-C</t>
  </si>
  <si>
    <t>RES-0402-A</t>
  </si>
  <si>
    <t>IC-TDFN3X3-B</t>
  </si>
  <si>
    <t>IC-WDFN6-A</t>
  </si>
  <si>
    <t>IC-WSON6-A</t>
  </si>
  <si>
    <t>IC-QFN32-A</t>
  </si>
  <si>
    <t>Leader Qty</t>
  </si>
  <si>
    <t>Supplier 1</t>
  </si>
  <si>
    <t>DigiKey</t>
  </si>
  <si>
    <t>Mouser</t>
  </si>
  <si>
    <t>Newark</t>
  </si>
  <si>
    <t>Supplier Part Number 1</t>
  </si>
  <si>
    <t>399-C0402C472K5RACTUDKR-ND</t>
  </si>
  <si>
    <t>80-C0805C334K5R</t>
  </si>
  <si>
    <t>311-3499-2-ND</t>
  </si>
  <si>
    <t>810-C2012X5R1C226M</t>
  </si>
  <si>
    <t>187-CL05B104KA5NNNC</t>
  </si>
  <si>
    <t>478-10955-1-ND</t>
  </si>
  <si>
    <t>637-SMF26A</t>
  </si>
  <si>
    <t>3757-P4FL3.3A_R1_00001DKR-ND</t>
  </si>
  <si>
    <t>3757-SS3060HE_R1_00001CT-ND</t>
  </si>
  <si>
    <t>754-1791-1-ND</t>
  </si>
  <si>
    <t>455-SM04B-SRSS-TBDKR-ND</t>
  </si>
  <si>
    <t>810-MDF2016BSS270CTD</t>
  </si>
  <si>
    <t>1712-5-2176797-4DKR-ND</t>
  </si>
  <si>
    <t>P100LCT-ND</t>
  </si>
  <si>
    <t>P52.3KLCT-ND</t>
  </si>
  <si>
    <t>P113KLCT-ND</t>
  </si>
  <si>
    <t>2019-RK73H1ETTPD1002FDKR-ND</t>
  </si>
  <si>
    <t>603-RC0402JR-070RL</t>
  </si>
  <si>
    <t>2019-RK73H1ETTP4990FDKR-ND</t>
  </si>
  <si>
    <t>150-MCP16361T-E/NMXCT-ND</t>
  </si>
  <si>
    <t>NCP380HMUAJAATBGOSCT-ND</t>
  </si>
  <si>
    <t>296-51976-1-ND</t>
  </si>
  <si>
    <t>Manufacturing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</si>
</sst>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Arial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36"/>
      <color rgb="FF000000"/>
      <name val="Free 3 of 9 Extended"/>
    </font>
    <font>
      <sz val="24"/>
      <color theme="1"/>
      <name val="Free 3 of 9 Extended"/>
    </font>
    <font>
      <b/>
      <sz val="11"/>
      <color theme="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2" xfId="0" applyBorder="1" applyAlignment="1">
      <alignment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0" fontId="20" fillId="0" borderId="16" xfId="0" applyFont="1" applyBorder="1" applyAlignment="1">
      <alignment horizontal="center" vertical="center"/>
    </xf>
    <xf numFmtId="14" fontId="21" fillId="0" borderId="0" xfId="0" applyNumberFormat="1" applyFont="1" applyAlignment="1">
      <alignment horizontal="left"/>
    </xf>
    <xf numFmtId="0" fontId="19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22" fillId="33" borderId="10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20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14" xfId="0" applyNumberFormat="1" applyBorder="1" applyAlignment="1">
      <alignment horizontal="center" vertical="top" wrapText="1"/>
    </xf>
    <xf numFmtId="164" fontId="0" fillId="0" borderId="15" xfId="0" applyNumberFormat="1" applyBorder="1" applyAlignment="1">
      <alignment horizontal="center" vertical="top" wrapText="1"/>
    </xf>
    <xf numFmtId="3" fontId="0" fillId="0" borderId="12" xfId="0" applyNumberFormat="1" applyBorder="1" applyAlignment="1">
      <alignment horizontal="center" vertical="top" wrapText="1"/>
    </xf>
    <xf numFmtId="3" fontId="0" fillId="0" borderId="11" xfId="0" applyNumberFormat="1" applyBorder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1" fillId="0" borderId="10" xfId="0" applyFont="1" applyBorder="1" applyAlignment="1">
      <alignment horizontal="left" vertical="center"/>
    </xf>
    <xf numFmtId="1" fontId="0" fillId="0" borderId="16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2" fillId="33" borderId="16" xfId="0" applyFont="1" applyFill="1" applyBorder="1" applyAlignment="1">
      <alignment horizontal="right" vertical="center"/>
    </xf>
    <xf numFmtId="0" fontId="22" fillId="33" borderId="13" xfId="0" applyFont="1" applyFill="1" applyBorder="1" applyAlignment="1">
      <alignment horizontal="right" vertical="center"/>
    </xf>
    <xf numFmtId="0" fontId="22" fillId="33" borderId="17" xfId="0" applyFont="1" applyFill="1" applyBorder="1" applyAlignment="1">
      <alignment horizontal="right" vertical="center"/>
    </xf>
    <xf numFmtId="0" fontId="22" fillId="33" borderId="10" xfId="0" applyFont="1" applyFill="1" applyBorder="1" applyAlignment="1">
      <alignment horizontal="right" vertical="center"/>
    </xf>
    <xf numFmtId="0" fontId="23" fillId="33" borderId="19" xfId="0" applyFont="1" applyFill="1" applyBorder="1" applyAlignment="1">
      <alignment horizontal="center" vertical="center"/>
    </xf>
    <xf numFmtId="0" fontId="23" fillId="33" borderId="0" xfId="0" applyFont="1" applyFill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21" fillId="0" borderId="16" xfId="0" quotePrefix="1" applyFont="1" applyBorder="1" applyAlignment="1">
      <alignment vertical="center"/>
    </xf>
    <xf numFmtId="1" fontId="21" fillId="0" borderId="10" xfId="0" quotePrefix="1" applyNumberFormat="1" applyFont="1" applyBorder="1" applyAlignment="1">
      <alignment horizontal="center" vertical="center"/>
    </xf>
    <xf numFmtId="14" fontId="21" fillId="0" borderId="19" xfId="0" quotePrefix="1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Free 3 of 9 Extended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Free 3 of 9 Extended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  <bottom style="thin">
          <color indexed="22"/>
        </bottom>
      </border>
    </dxf>
    <dxf>
      <alignment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71649</xdr:colOff>
      <xdr:row>0</xdr:row>
      <xdr:rowOff>59402</xdr:rowOff>
    </xdr:from>
    <xdr:to>
      <xdr:col>1</xdr:col>
      <xdr:colOff>381173</xdr:colOff>
      <xdr:row>2</xdr:row>
      <xdr:rowOff>8689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49" y="59402"/>
          <a:ext cx="989881" cy="618512"/>
        </a:xfrm>
        <a:prstGeom prst="rect">
          <a:avLst/>
        </a:prstGeom>
      </xdr:spPr>
    </xdr:pic>
    <xdr:clientData/>
  </xdr:twoCellAnchor>
  <xdr:twoCellAnchor editAs="oneCell">
    <xdr:from>
      <xdr:col>9</xdr:col>
      <xdr:colOff>1528083</xdr:colOff>
      <xdr:row>0</xdr:row>
      <xdr:rowOff>26722</xdr:rowOff>
    </xdr:from>
    <xdr:to>
      <xdr:col>11</xdr:col>
      <xdr:colOff>844727</xdr:colOff>
      <xdr:row>1</xdr:row>
      <xdr:rowOff>322899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1869" y="26722"/>
          <a:ext cx="1853016" cy="6363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P115" totalsRowShown="0" headerRowDxfId="22" dataDxfId="20" headerRowBorderDxfId="21" tableBorderDxfId="19">
  <autoFilter ref="A6:P115" xr:uid="{00000000-0009-0000-0100-000001000000}"/>
  <tableColumns count="16">
    <tableColumn id="1" xr3:uid="{00000000-0010-0000-0000-000001000000}" name="FIND NO" dataDxfId="18"/>
    <tableColumn id="9" xr3:uid="{00000000-0010-0000-0000-000009000000}" name="Barcode" dataDxfId="17">
      <calculatedColumnFormula>"*" &amp; Table1[[#This Row],[FIND NO]] &amp; "*"</calculatedColumnFormula>
    </tableColumn>
    <tableColumn id="2" xr3:uid="{00000000-0010-0000-0000-000002000000}" name="REFERENCE DESIGNATION" dataDxfId="16"/>
    <tableColumn id="3" xr3:uid="{00000000-0010-0000-0000-000003000000}" name="QTY" dataDxfId="15"/>
    <tableColumn id="4" xr3:uid="{00000000-0010-0000-0000-000004000000}" name="DESCRIPTION" dataDxfId="14"/>
    <tableColumn id="7" xr3:uid="{00000000-0010-0000-0000-000007000000}" name="PART NUMBER" dataDxfId="13"/>
    <tableColumn id="8" xr3:uid="{00000000-0010-0000-0000-000008000000}" name="Footprint" dataDxfId="12"/>
    <tableColumn id="11" xr3:uid="{00000000-0010-0000-0000-00000B000000}" name="Need" dataDxfId="11">
      <calculatedColumnFormula>$B$4*Table1[[#This Row],[QTY]]</calculatedColumnFormula>
    </tableColumn>
    <tableColumn id="5" xr3:uid="{D99858D0-42F3-4C71-98F8-61009BAA8162}" name="Leader Qty" dataDxfId="10"/>
    <tableColumn id="12" xr3:uid="{00000000-0010-0000-0000-00000C000000}" name="Order" dataDxfId="9">
      <calculatedColumnFormula>Table1[[#This Row],[Need]]+Table1[[#This Row],[Leader Qty]]</calculatedColumnFormula>
    </tableColumn>
    <tableColumn id="13" xr3:uid="{00000000-0010-0000-0000-00000D000000}" name="Receive" dataDxfId="8"/>
    <tableColumn id="14" xr3:uid="{00000000-0010-0000-0000-00000E000000}" name="PRF#" dataDxfId="7"/>
    <tableColumn id="15" xr3:uid="{00000000-0010-0000-0000-00000F000000}" name="Status" dataDxfId="6">
      <calculatedColumnFormula>IF(Table1[[#This Row],[Receive]]&gt;=Table1[[#This Row],[Need]],"READY", "NEED")</calculatedColumnFormula>
    </tableColumn>
    <tableColumn id="6" xr3:uid="{169153B0-8778-443D-9B19-686F80FD6253}" name="Supplier 1" dataDxfId="5"/>
    <tableColumn id="10" xr3:uid="{13B1AC6A-B903-4B67-8DA3-F393C590D7BD}" name="Supplier Part Number 1" dataDxfId="4"/>
    <tableColumn id="16" xr3:uid="{2DFF39A4-B768-4FD6-AE03-135CEFB1026E}" name="Manufacturing Notes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2"/>
  <sheetViews>
    <sheetView tabSelected="1" showWhiteSpace="0" view="pageLayout" zoomScale="70" zoomScaleNormal="85" zoomScalePageLayoutView="70" workbookViewId="0">
      <selection activeCell="N6" sqref="N6"/>
    </sheetView>
  </sheetViews>
  <sheetFormatPr defaultRowHeight="14.4"/>
  <cols>
    <col min="1" max="1" width="9.5546875" style="1" bestFit="1" customWidth="1"/>
    <col min="2" max="2" width="19" style="16" customWidth="1"/>
    <col min="3" max="3" width="19.5546875" style="20" customWidth="1"/>
    <col min="4" max="4" width="10.5546875" style="1" customWidth="1"/>
    <col min="5" max="5" width="44.5546875" style="1" customWidth="1"/>
    <col min="6" max="6" width="27.109375" bestFit="1" customWidth="1"/>
    <col min="7" max="7" width="12.6640625" customWidth="1"/>
    <col min="8" max="8" width="13.88671875" style="1" bestFit="1" customWidth="1"/>
    <col min="9" max="9" width="14.33203125" style="1" bestFit="1" customWidth="1"/>
    <col min="10" max="10" width="17" bestFit="1" customWidth="1"/>
    <col min="11" max="11" width="14" style="1" customWidth="1"/>
    <col min="12" max="12" width="13.6640625" customWidth="1"/>
    <col min="13" max="13" width="10.6640625" customWidth="1"/>
    <col min="14" max="14" width="13.6640625" customWidth="1"/>
    <col min="16" max="16" width="32.6640625" customWidth="1"/>
  </cols>
  <sheetData>
    <row r="1" spans="1:16" ht="26.25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6" ht="26.2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6" ht="30">
      <c r="A3" s="38" t="s">
        <v>1</v>
      </c>
      <c r="B3" s="38"/>
      <c r="C3" s="38"/>
      <c r="D3" s="38"/>
      <c r="E3" s="47" t="s">
        <v>11</v>
      </c>
      <c r="F3" s="38" t="s">
        <v>2</v>
      </c>
      <c r="G3" s="38"/>
      <c r="H3" s="44" t="str">
        <f>"*" &amp; E3 &amp; "-REV" &amp; E4 &amp; "*"</f>
        <v>*-REV&lt;Parameter VersionControl_ProjFolderRevNumber not found&gt;*</v>
      </c>
      <c r="I3" s="45"/>
      <c r="J3" s="45"/>
      <c r="K3" s="45"/>
      <c r="L3" s="45"/>
      <c r="M3" s="45"/>
      <c r="N3" s="45"/>
      <c r="O3" s="45"/>
    </row>
    <row r="4" spans="1:16" ht="25.8">
      <c r="A4" s="19" t="s">
        <v>3</v>
      </c>
      <c r="B4" s="48" t="s">
        <v>12</v>
      </c>
      <c r="C4" s="39" t="s">
        <v>4</v>
      </c>
      <c r="D4" s="40"/>
      <c r="E4" s="33" t="s">
        <v>13</v>
      </c>
      <c r="F4" s="41" t="s">
        <v>5</v>
      </c>
      <c r="G4" s="41"/>
      <c r="H4" s="49" t="s">
        <v>14</v>
      </c>
      <c r="I4" s="46"/>
      <c r="J4" s="46"/>
      <c r="K4" s="46"/>
      <c r="L4" s="46"/>
      <c r="M4" s="46"/>
      <c r="N4" s="46"/>
      <c r="O4" s="46"/>
    </row>
    <row r="5" spans="1:16" ht="7.5" customHeight="1">
      <c r="A5" s="3"/>
      <c r="F5" s="11"/>
    </row>
    <row r="6" spans="1:16" s="2" customFormat="1" ht="23.25" customHeight="1">
      <c r="A6" s="10" t="s">
        <v>15</v>
      </c>
      <c r="B6" s="10" t="s">
        <v>2</v>
      </c>
      <c r="C6" s="21" t="s">
        <v>16</v>
      </c>
      <c r="D6" s="10" t="s">
        <v>43</v>
      </c>
      <c r="E6" s="10" t="s">
        <v>44</v>
      </c>
      <c r="F6" s="10" t="s">
        <v>71</v>
      </c>
      <c r="G6" s="10" t="s">
        <v>98</v>
      </c>
      <c r="H6" s="10" t="s">
        <v>8</v>
      </c>
      <c r="I6" s="10" t="s">
        <v>114</v>
      </c>
      <c r="J6" s="10" t="s">
        <v>9</v>
      </c>
      <c r="K6" s="10" t="s">
        <v>10</v>
      </c>
      <c r="L6" s="10" t="s">
        <v>6</v>
      </c>
      <c r="M6" s="10" t="s">
        <v>7</v>
      </c>
      <c r="N6" s="36" t="s">
        <v>115</v>
      </c>
      <c r="O6" s="36" t="s">
        <v>119</v>
      </c>
      <c r="P6" s="37" t="s">
        <v>142</v>
      </c>
    </row>
    <row r="7" spans="1:16" ht="72">
      <c r="A7" s="12">
        <v>1</v>
      </c>
      <c r="B7" s="15" t="str">
        <f>"*" &amp; Table1[[#This Row],[FIND NO]] &amp; "*"</f>
        <v>*1*</v>
      </c>
      <c r="C7" s="29" t="s">
        <v>17</v>
      </c>
      <c r="D7" s="30">
        <v>1</v>
      </c>
      <c r="E7" s="30" t="s">
        <v>45</v>
      </c>
      <c r="F7" s="30" t="s">
        <v>72</v>
      </c>
      <c r="G7" s="18" t="s">
        <v>99</v>
      </c>
      <c r="H7" s="31">
        <f>$B$4*Table1[[#This Row],[QTY]]</f>
        <v>1</v>
      </c>
      <c r="I7" s="31">
        <v>100</v>
      </c>
      <c r="J7" s="31">
        <f>Table1[[#This Row],[Need]]+Table1[[#This Row],[Leader Qty]]</f>
        <v>101</v>
      </c>
      <c r="K7" s="31"/>
      <c r="L7" s="31"/>
      <c r="M7" s="31" t="str">
        <f>IF(Table1[[#This Row],[Receive]]&gt;=Table1[[#This Row],[Need]],"READY", "NEED")</f>
        <v>NEED</v>
      </c>
      <c r="N7" s="34" t="s">
        <v>116</v>
      </c>
      <c r="O7" s="34" t="s">
        <v>120</v>
      </c>
      <c r="P7" s="34"/>
    </row>
    <row r="8" spans="1:16" ht="44.4">
      <c r="A8" s="12">
        <v>2</v>
      </c>
      <c r="B8" s="15" t="str">
        <f>"*" &amp; Table1[[#This Row],[FIND NO]] &amp; "*"</f>
        <v>*2*</v>
      </c>
      <c r="C8" s="29" t="s">
        <v>18</v>
      </c>
      <c r="D8" s="30">
        <v>1</v>
      </c>
      <c r="E8" s="30" t="s">
        <v>46</v>
      </c>
      <c r="F8" s="30" t="s">
        <v>73</v>
      </c>
      <c r="G8" s="18" t="s">
        <v>100</v>
      </c>
      <c r="H8" s="31">
        <f>$B$4*Table1[[#This Row],[QTY]]</f>
        <v>1</v>
      </c>
      <c r="I8" s="31">
        <v>100</v>
      </c>
      <c r="J8" s="31">
        <f>Table1[[#This Row],[Need]]+Table1[[#This Row],[Leader Qty]]</f>
        <v>101</v>
      </c>
      <c r="K8" s="31"/>
      <c r="L8" s="31"/>
      <c r="M8" s="31" t="str">
        <f>IF(Table1[[#This Row],[Receive]]&gt;=Table1[[#This Row],[Need]],"READY", "NEED")</f>
        <v>NEED</v>
      </c>
      <c r="N8" s="31" t="s">
        <v>117</v>
      </c>
      <c r="O8" s="31" t="s">
        <v>121</v>
      </c>
      <c r="P8" s="31"/>
    </row>
    <row r="9" spans="1:16" ht="44.4">
      <c r="A9" s="12">
        <v>3</v>
      </c>
      <c r="B9" s="15" t="str">
        <f>"*" &amp; Table1[[#This Row],[FIND NO]] &amp; "*"</f>
        <v>*3*</v>
      </c>
      <c r="C9" s="29" t="s">
        <v>19</v>
      </c>
      <c r="D9" s="30">
        <v>2</v>
      </c>
      <c r="E9" s="30" t="s">
        <v>47</v>
      </c>
      <c r="F9" s="30" t="s">
        <v>74</v>
      </c>
      <c r="G9" s="18" t="s">
        <v>100</v>
      </c>
      <c r="H9" s="31">
        <f>$B$4*Table1[[#This Row],[QTY]]</f>
        <v>2</v>
      </c>
      <c r="I9" s="31">
        <v>100</v>
      </c>
      <c r="J9" s="31">
        <f>Table1[[#This Row],[Need]]+Table1[[#This Row],[Leader Qty]]</f>
        <v>102</v>
      </c>
      <c r="K9" s="31"/>
      <c r="L9" s="31"/>
      <c r="M9" s="31" t="str">
        <f>IF(Table1[[#This Row],[Receive]]&gt;=Table1[[#This Row],[Need]],"READY", "NEED")</f>
        <v>NEED</v>
      </c>
      <c r="N9" s="34" t="s">
        <v>116</v>
      </c>
      <c r="O9" s="34" t="s">
        <v>122</v>
      </c>
      <c r="P9" s="34"/>
    </row>
    <row r="10" spans="1:16" ht="44.4">
      <c r="A10" s="12">
        <v>4</v>
      </c>
      <c r="B10" s="15" t="str">
        <f>"*" &amp; Table1[[#This Row],[FIND NO]] &amp; "*"</f>
        <v>*4*</v>
      </c>
      <c r="C10" s="29" t="s">
        <v>20</v>
      </c>
      <c r="D10" s="30">
        <v>2</v>
      </c>
      <c r="E10" s="30" t="s">
        <v>48</v>
      </c>
      <c r="F10" s="30" t="s">
        <v>75</v>
      </c>
      <c r="G10" s="18" t="s">
        <v>101</v>
      </c>
      <c r="H10" s="31">
        <f>$B$4*Table1[[#This Row],[QTY]]</f>
        <v>2</v>
      </c>
      <c r="I10" s="31">
        <v>100</v>
      </c>
      <c r="J10" s="31">
        <f>Table1[[#This Row],[Need]]+Table1[[#This Row],[Leader Qty]]</f>
        <v>102</v>
      </c>
      <c r="K10" s="31"/>
      <c r="L10" s="31"/>
      <c r="M10" s="31" t="str">
        <f>IF(Table1[[#This Row],[Receive]]&gt;=Table1[[#This Row],[Need]],"READY", "NEED")</f>
        <v>NEED</v>
      </c>
      <c r="N10" s="31" t="s">
        <v>117</v>
      </c>
      <c r="O10" s="31" t="s">
        <v>123</v>
      </c>
      <c r="P10" s="31"/>
    </row>
    <row r="11" spans="1:16" ht="57.6">
      <c r="A11" s="12">
        <v>5</v>
      </c>
      <c r="B11" s="15" t="str">
        <f>"*" &amp; Table1[[#This Row],[FIND NO]] &amp; "*"</f>
        <v>*5*</v>
      </c>
      <c r="C11" s="29" t="s">
        <v>21</v>
      </c>
      <c r="D11" s="30">
        <v>8</v>
      </c>
      <c r="E11" s="30" t="s">
        <v>49</v>
      </c>
      <c r="F11" s="30" t="s">
        <v>76</v>
      </c>
      <c r="G11" s="18" t="s">
        <v>99</v>
      </c>
      <c r="H11" s="31">
        <f>$B$4*Table1[[#This Row],[QTY]]</f>
        <v>8</v>
      </c>
      <c r="I11" s="31">
        <v>100</v>
      </c>
      <c r="J11" s="31">
        <f>Table1[[#This Row],[Need]]+Table1[[#This Row],[Leader Qty]]</f>
        <v>108</v>
      </c>
      <c r="K11" s="31"/>
      <c r="L11" s="31"/>
      <c r="M11" s="31" t="str">
        <f>IF(Table1[[#This Row],[Receive]]&gt;=Table1[[#This Row],[Need]],"READY", "NEED")</f>
        <v>NEED</v>
      </c>
      <c r="N11" s="34" t="s">
        <v>117</v>
      </c>
      <c r="O11" s="34" t="s">
        <v>124</v>
      </c>
      <c r="P11" s="34"/>
    </row>
    <row r="12" spans="1:16" ht="44.4">
      <c r="A12" s="12">
        <v>6</v>
      </c>
      <c r="B12" s="15" t="str">
        <f>"*" &amp; Table1[[#This Row],[FIND NO]] &amp; "*"</f>
        <v>*6*</v>
      </c>
      <c r="C12" s="29" t="s">
        <v>22</v>
      </c>
      <c r="D12" s="30">
        <v>1</v>
      </c>
      <c r="E12" s="30" t="s">
        <v>50</v>
      </c>
      <c r="F12" s="30" t="s">
        <v>77</v>
      </c>
      <c r="G12" s="18" t="s">
        <v>99</v>
      </c>
      <c r="H12" s="31">
        <f>$B$4*Table1[[#This Row],[QTY]]</f>
        <v>1</v>
      </c>
      <c r="I12" s="31">
        <v>100</v>
      </c>
      <c r="J12" s="31">
        <f>Table1[[#This Row],[Need]]+Table1[[#This Row],[Leader Qty]]</f>
        <v>101</v>
      </c>
      <c r="K12" s="31"/>
      <c r="L12" s="31"/>
      <c r="M12" s="31" t="str">
        <f>IF(Table1[[#This Row],[Receive]]&gt;=Table1[[#This Row],[Need]],"READY", "NEED")</f>
        <v>NEED</v>
      </c>
      <c r="N12" s="31"/>
      <c r="O12" s="31"/>
      <c r="P12" s="31"/>
    </row>
    <row r="13" spans="1:16" ht="44.4">
      <c r="A13" s="12">
        <v>7</v>
      </c>
      <c r="B13" s="15" t="str">
        <f>"*" &amp; Table1[[#This Row],[FIND NO]] &amp; "*"</f>
        <v>*7*</v>
      </c>
      <c r="C13" s="29" t="s">
        <v>23</v>
      </c>
      <c r="D13" s="30">
        <v>2</v>
      </c>
      <c r="E13" s="30" t="s">
        <v>51</v>
      </c>
      <c r="F13" s="30" t="s">
        <v>78</v>
      </c>
      <c r="G13" s="18" t="s">
        <v>99</v>
      </c>
      <c r="H13" s="31">
        <f>$B$4*Table1[[#This Row],[QTY]]</f>
        <v>2</v>
      </c>
      <c r="I13" s="31">
        <v>100</v>
      </c>
      <c r="J13" s="31">
        <f>Table1[[#This Row],[Need]]+Table1[[#This Row],[Leader Qty]]</f>
        <v>102</v>
      </c>
      <c r="K13" s="31"/>
      <c r="L13" s="31"/>
      <c r="M13" s="31" t="str">
        <f>IF(Table1[[#This Row],[Receive]]&gt;=Table1[[#This Row],[Need]],"READY", "NEED")</f>
        <v>NEED</v>
      </c>
      <c r="N13" s="34" t="s">
        <v>116</v>
      </c>
      <c r="O13" s="34" t="s">
        <v>125</v>
      </c>
      <c r="P13" s="34"/>
    </row>
    <row r="14" spans="1:16" ht="44.4">
      <c r="A14" s="12">
        <v>8</v>
      </c>
      <c r="B14" s="15" t="str">
        <f>"*" &amp; Table1[[#This Row],[FIND NO]] &amp; "*"</f>
        <v>*8*</v>
      </c>
      <c r="C14" s="29" t="s">
        <v>24</v>
      </c>
      <c r="D14" s="30">
        <v>1</v>
      </c>
      <c r="E14" s="30" t="s">
        <v>52</v>
      </c>
      <c r="F14" s="30" t="s">
        <v>79</v>
      </c>
      <c r="G14" s="18" t="s">
        <v>102</v>
      </c>
      <c r="H14" s="31">
        <f>$B$4*Table1[[#This Row],[QTY]]</f>
        <v>1</v>
      </c>
      <c r="I14" s="31"/>
      <c r="J14" s="31">
        <f>Table1[[#This Row],[Need]]+Table1[[#This Row],[Leader Qty]]</f>
        <v>1</v>
      </c>
      <c r="K14" s="31"/>
      <c r="L14" s="31"/>
      <c r="M14" s="31" t="str">
        <f>IF(Table1[[#This Row],[Receive]]&gt;=Table1[[#This Row],[Need]],"READY", "NEED")</f>
        <v>NEED</v>
      </c>
      <c r="N14" s="31" t="s">
        <v>117</v>
      </c>
      <c r="O14" s="31" t="s">
        <v>126</v>
      </c>
      <c r="P14" s="31"/>
    </row>
    <row r="15" spans="1:16" ht="72">
      <c r="A15" s="12">
        <v>9</v>
      </c>
      <c r="B15" s="15" t="str">
        <f>"*" &amp; Table1[[#This Row],[FIND NO]] &amp; "*"</f>
        <v>*9*</v>
      </c>
      <c r="C15" s="29" t="s">
        <v>25</v>
      </c>
      <c r="D15" s="30">
        <v>1</v>
      </c>
      <c r="E15" s="30" t="s">
        <v>53</v>
      </c>
      <c r="F15" s="30" t="s">
        <v>80</v>
      </c>
      <c r="G15" s="18" t="s">
        <v>102</v>
      </c>
      <c r="H15" s="31">
        <f>$B$4*Table1[[#This Row],[QTY]]</f>
        <v>1</v>
      </c>
      <c r="I15" s="31"/>
      <c r="J15" s="31">
        <f>Table1[[#This Row],[Need]]+Table1[[#This Row],[Leader Qty]]</f>
        <v>1</v>
      </c>
      <c r="K15" s="31"/>
      <c r="L15" s="31"/>
      <c r="M15" s="31" t="str">
        <f>IF(Table1[[#This Row],[Receive]]&gt;=Table1[[#This Row],[Need]],"READY", "NEED")</f>
        <v>NEED</v>
      </c>
      <c r="N15" s="34" t="s">
        <v>116</v>
      </c>
      <c r="O15" s="34" t="s">
        <v>127</v>
      </c>
      <c r="P15" s="34"/>
    </row>
    <row r="16" spans="1:16" ht="72">
      <c r="A16" s="12">
        <v>11</v>
      </c>
      <c r="B16" s="15" t="str">
        <f>"*" &amp; Table1[[#This Row],[FIND NO]] &amp; "*"</f>
        <v>*11*</v>
      </c>
      <c r="C16" s="29" t="s">
        <v>26</v>
      </c>
      <c r="D16" s="30">
        <v>1</v>
      </c>
      <c r="E16" s="30" t="s">
        <v>54</v>
      </c>
      <c r="F16" s="30" t="s">
        <v>81</v>
      </c>
      <c r="G16" s="18" t="s">
        <v>103</v>
      </c>
      <c r="H16" s="31">
        <f>$B$4*Table1[[#This Row],[QTY]]</f>
        <v>1</v>
      </c>
      <c r="I16" s="31"/>
      <c r="J16" s="31">
        <f>Table1[[#This Row],[Need]]+Table1[[#This Row],[Leader Qty]]</f>
        <v>1</v>
      </c>
      <c r="K16" s="31"/>
      <c r="L16" s="31"/>
      <c r="M16" s="31" t="str">
        <f>IF(Table1[[#This Row],[Receive]]&gt;=Table1[[#This Row],[Need]],"READY", "NEED")</f>
        <v>NEED</v>
      </c>
      <c r="N16" s="31" t="s">
        <v>116</v>
      </c>
      <c r="O16" s="31" t="s">
        <v>128</v>
      </c>
      <c r="P16" s="31"/>
    </row>
    <row r="17" spans="1:16" ht="44.4">
      <c r="A17" s="12">
        <v>12</v>
      </c>
      <c r="B17" s="15" t="str">
        <f>"*" &amp; Table1[[#This Row],[FIND NO]] &amp; "*"</f>
        <v>*12*</v>
      </c>
      <c r="C17" s="29" t="s">
        <v>27</v>
      </c>
      <c r="D17" s="30">
        <v>2</v>
      </c>
      <c r="E17" s="30" t="s">
        <v>55</v>
      </c>
      <c r="F17" s="30" t="s">
        <v>82</v>
      </c>
      <c r="G17" s="18" t="s">
        <v>104</v>
      </c>
      <c r="H17" s="31">
        <f>$B$4*Table1[[#This Row],[QTY]]</f>
        <v>2</v>
      </c>
      <c r="I17" s="31"/>
      <c r="J17" s="31">
        <f>Table1[[#This Row],[Need]]+Table1[[#This Row],[Leader Qty]]</f>
        <v>2</v>
      </c>
      <c r="K17" s="31"/>
      <c r="L17" s="31"/>
      <c r="M17" s="31" t="str">
        <f>IF(Table1[[#This Row],[Receive]]&gt;=Table1[[#This Row],[Need]],"READY", "NEED")</f>
        <v>NEED</v>
      </c>
      <c r="N17" s="34" t="s">
        <v>116</v>
      </c>
      <c r="O17" s="34" t="s">
        <v>129</v>
      </c>
      <c r="P17" s="34"/>
    </row>
    <row r="18" spans="1:16" ht="72">
      <c r="A18" s="12">
        <v>13</v>
      </c>
      <c r="B18" s="15" t="str">
        <f>"*" &amp; Table1[[#This Row],[FIND NO]] &amp; "*"</f>
        <v>*13*</v>
      </c>
      <c r="C18" s="29" t="s">
        <v>28</v>
      </c>
      <c r="D18" s="30">
        <v>2</v>
      </c>
      <c r="E18" s="30" t="s">
        <v>56</v>
      </c>
      <c r="F18" s="30" t="s">
        <v>83</v>
      </c>
      <c r="G18" s="18" t="s">
        <v>83</v>
      </c>
      <c r="H18" s="31">
        <f>$B$4*Table1[[#This Row],[QTY]]</f>
        <v>2</v>
      </c>
      <c r="I18" s="31"/>
      <c r="J18" s="31">
        <f>Table1[[#This Row],[Need]]+Table1[[#This Row],[Leader Qty]]</f>
        <v>2</v>
      </c>
      <c r="K18" s="31"/>
      <c r="L18" s="31"/>
      <c r="M18" s="31" t="str">
        <f>IF(Table1[[#This Row],[Receive]]&gt;=Table1[[#This Row],[Need]],"READY", "NEED")</f>
        <v>NEED</v>
      </c>
      <c r="N18" s="31" t="s">
        <v>116</v>
      </c>
      <c r="O18" s="31" t="s">
        <v>130</v>
      </c>
      <c r="P18" s="31"/>
    </row>
    <row r="19" spans="1:16" ht="57.6">
      <c r="A19" s="12">
        <v>14</v>
      </c>
      <c r="B19" s="15" t="str">
        <f>"*" &amp; Table1[[#This Row],[FIND NO]] &amp; "*"</f>
        <v>*14*</v>
      </c>
      <c r="C19" s="29" t="s">
        <v>29</v>
      </c>
      <c r="D19" s="30">
        <v>1</v>
      </c>
      <c r="E19" s="30" t="s">
        <v>57</v>
      </c>
      <c r="F19" s="30" t="s">
        <v>84</v>
      </c>
      <c r="G19" s="18" t="s">
        <v>105</v>
      </c>
      <c r="H19" s="31">
        <f>$B$4*Table1[[#This Row],[QTY]]</f>
        <v>1</v>
      </c>
      <c r="I19" s="31"/>
      <c r="J19" s="31">
        <f>Table1[[#This Row],[Need]]+Table1[[#This Row],[Leader Qty]]</f>
        <v>1</v>
      </c>
      <c r="K19" s="31"/>
      <c r="L19" s="31"/>
      <c r="M19" s="31" t="str">
        <f>IF(Table1[[#This Row],[Receive]]&gt;=Table1[[#This Row],[Need]],"READY", "NEED")</f>
        <v>NEED</v>
      </c>
      <c r="N19" s="34" t="s">
        <v>117</v>
      </c>
      <c r="O19" s="34" t="s">
        <v>131</v>
      </c>
      <c r="P19" s="34"/>
    </row>
    <row r="20" spans="1:16" ht="44.4">
      <c r="A20" s="12">
        <v>15</v>
      </c>
      <c r="B20" s="15" t="str">
        <f>"*" &amp; Table1[[#This Row],[FIND NO]] &amp; "*"</f>
        <v>*15*</v>
      </c>
      <c r="C20" s="29" t="s">
        <v>30</v>
      </c>
      <c r="D20" s="30">
        <v>1</v>
      </c>
      <c r="E20" s="30" t="s">
        <v>58</v>
      </c>
      <c r="F20" s="30" t="s">
        <v>85</v>
      </c>
      <c r="G20" s="18" t="s">
        <v>106</v>
      </c>
      <c r="H20" s="31">
        <f>$B$4*Table1[[#This Row],[QTY]]</f>
        <v>1</v>
      </c>
      <c r="I20" s="31"/>
      <c r="J20" s="31">
        <f>Table1[[#This Row],[Need]]+Table1[[#This Row],[Leader Qty]]</f>
        <v>1</v>
      </c>
      <c r="K20" s="31"/>
      <c r="L20" s="31"/>
      <c r="M20" s="31" t="str">
        <f>IF(Table1[[#This Row],[Receive]]&gt;=Table1[[#This Row],[Need]],"READY", "NEED")</f>
        <v>NEED</v>
      </c>
      <c r="N20" s="31" t="s">
        <v>116</v>
      </c>
      <c r="O20" s="31" t="s">
        <v>132</v>
      </c>
      <c r="P20" s="31"/>
    </row>
    <row r="21" spans="1:16" ht="44.4">
      <c r="A21" s="12">
        <v>16</v>
      </c>
      <c r="B21" s="15" t="str">
        <f>"*" &amp; Table1[[#This Row],[FIND NO]] &amp; "*"</f>
        <v>*16*</v>
      </c>
      <c r="C21" s="29" t="s">
        <v>31</v>
      </c>
      <c r="D21" s="30">
        <v>1</v>
      </c>
      <c r="E21" s="30" t="s">
        <v>59</v>
      </c>
      <c r="F21" s="30" t="s">
        <v>86</v>
      </c>
      <c r="G21" s="18" t="s">
        <v>86</v>
      </c>
      <c r="H21" s="31">
        <f>$B$4*Table1[[#This Row],[QTY]]</f>
        <v>1</v>
      </c>
      <c r="I21" s="31">
        <v>5</v>
      </c>
      <c r="J21" s="31">
        <f>Table1[[#This Row],[Need]]+Table1[[#This Row],[Leader Qty]]</f>
        <v>6</v>
      </c>
      <c r="K21" s="31"/>
      <c r="L21" s="31"/>
      <c r="M21" s="31" t="str">
        <f>IF(Table1[[#This Row],[Receive]]&gt;=Table1[[#This Row],[Need]],"READY", "NEED")</f>
        <v>NEED</v>
      </c>
      <c r="N21" s="34"/>
      <c r="O21" s="34"/>
      <c r="P21" s="34"/>
    </row>
    <row r="22" spans="1:16" ht="44.4">
      <c r="A22" s="12">
        <v>17</v>
      </c>
      <c r="B22" s="15" t="str">
        <f>"*" &amp; Table1[[#This Row],[FIND NO]] &amp; "*"</f>
        <v>*17*</v>
      </c>
      <c r="C22" s="29" t="s">
        <v>32</v>
      </c>
      <c r="D22" s="30">
        <v>1</v>
      </c>
      <c r="E22" s="30" t="s">
        <v>60</v>
      </c>
      <c r="F22" s="30" t="s">
        <v>87</v>
      </c>
      <c r="G22" s="18" t="s">
        <v>107</v>
      </c>
      <c r="H22" s="31">
        <f>$B$4*Table1[[#This Row],[QTY]]</f>
        <v>1</v>
      </c>
      <c r="I22" s="31">
        <v>100</v>
      </c>
      <c r="J22" s="31">
        <f>Table1[[#This Row],[Need]]+Table1[[#This Row],[Leader Qty]]</f>
        <v>101</v>
      </c>
      <c r="K22" s="31"/>
      <c r="L22" s="31"/>
      <c r="M22" s="31" t="str">
        <f>IF(Table1[[#This Row],[Receive]]&gt;=Table1[[#This Row],[Need]],"READY", "NEED")</f>
        <v>NEED</v>
      </c>
      <c r="N22" s="31" t="s">
        <v>116</v>
      </c>
      <c r="O22" s="31" t="s">
        <v>133</v>
      </c>
      <c r="P22" s="31"/>
    </row>
    <row r="23" spans="1:16" ht="44.4">
      <c r="A23" s="12">
        <v>18</v>
      </c>
      <c r="B23" s="15" t="str">
        <f>"*" &amp; Table1[[#This Row],[FIND NO]] &amp; "*"</f>
        <v>*18*</v>
      </c>
      <c r="C23" s="29" t="s">
        <v>33</v>
      </c>
      <c r="D23" s="30">
        <v>1</v>
      </c>
      <c r="E23" s="30" t="s">
        <v>61</v>
      </c>
      <c r="F23" s="30" t="s">
        <v>88</v>
      </c>
      <c r="G23" s="18" t="s">
        <v>108</v>
      </c>
      <c r="H23" s="31">
        <f>$B$4*Table1[[#This Row],[QTY]]</f>
        <v>1</v>
      </c>
      <c r="I23" s="31">
        <v>100</v>
      </c>
      <c r="J23" s="31">
        <f>Table1[[#This Row],[Need]]+Table1[[#This Row],[Leader Qty]]</f>
        <v>101</v>
      </c>
      <c r="K23" s="31"/>
      <c r="L23" s="31"/>
      <c r="M23" s="31" t="str">
        <f>IF(Table1[[#This Row],[Receive]]&gt;=Table1[[#This Row],[Need]],"READY", "NEED")</f>
        <v>NEED</v>
      </c>
      <c r="N23" s="34" t="s">
        <v>116</v>
      </c>
      <c r="O23" s="34" t="s">
        <v>134</v>
      </c>
      <c r="P23" s="34"/>
    </row>
    <row r="24" spans="1:16" ht="44.4">
      <c r="A24" s="12">
        <v>19</v>
      </c>
      <c r="B24" s="15" t="str">
        <f>"*" &amp; Table1[[#This Row],[FIND NO]] &amp; "*"</f>
        <v>*19*</v>
      </c>
      <c r="C24" s="29" t="s">
        <v>34</v>
      </c>
      <c r="D24" s="30">
        <v>1</v>
      </c>
      <c r="E24" s="30" t="s">
        <v>62</v>
      </c>
      <c r="F24" s="30" t="s">
        <v>89</v>
      </c>
      <c r="G24" s="18" t="s">
        <v>108</v>
      </c>
      <c r="H24" s="31">
        <f>$B$4*Table1[[#This Row],[QTY]]</f>
        <v>1</v>
      </c>
      <c r="I24" s="31">
        <v>100</v>
      </c>
      <c r="J24" s="31">
        <f>Table1[[#This Row],[Need]]+Table1[[#This Row],[Leader Qty]]</f>
        <v>101</v>
      </c>
      <c r="K24" s="31"/>
      <c r="L24" s="31"/>
      <c r="M24" s="31" t="str">
        <f>IF(Table1[[#This Row],[Receive]]&gt;=Table1[[#This Row],[Need]],"READY", "NEED")</f>
        <v>NEED</v>
      </c>
      <c r="N24" s="31" t="s">
        <v>116</v>
      </c>
      <c r="O24" s="31" t="s">
        <v>135</v>
      </c>
      <c r="P24" s="31"/>
    </row>
    <row r="25" spans="1:16" ht="72">
      <c r="A25" s="12">
        <v>20</v>
      </c>
      <c r="B25" s="15" t="str">
        <f>"*" &amp; Table1[[#This Row],[FIND NO]] &amp; "*"</f>
        <v>*20*</v>
      </c>
      <c r="C25" s="29" t="s">
        <v>35</v>
      </c>
      <c r="D25" s="30">
        <v>4</v>
      </c>
      <c r="E25" s="30" t="s">
        <v>63</v>
      </c>
      <c r="F25" s="30" t="s">
        <v>90</v>
      </c>
      <c r="G25" s="18" t="s">
        <v>109</v>
      </c>
      <c r="H25" s="31">
        <f>$B$4*Table1[[#This Row],[QTY]]</f>
        <v>4</v>
      </c>
      <c r="I25" s="31">
        <v>100</v>
      </c>
      <c r="J25" s="31">
        <f>Table1[[#This Row],[Need]]+Table1[[#This Row],[Leader Qty]]</f>
        <v>104</v>
      </c>
      <c r="K25" s="31"/>
      <c r="L25" s="31"/>
      <c r="M25" s="31" t="str">
        <f>IF(Table1[[#This Row],[Receive]]&gt;=Table1[[#This Row],[Need]],"READY", "NEED")</f>
        <v>NEED</v>
      </c>
      <c r="N25" s="34" t="s">
        <v>116</v>
      </c>
      <c r="O25" s="34" t="s">
        <v>136</v>
      </c>
      <c r="P25" s="34"/>
    </row>
    <row r="26" spans="1:16" ht="44.4">
      <c r="A26" s="12">
        <v>21</v>
      </c>
      <c r="B26" s="15" t="str">
        <f>"*" &amp; Table1[[#This Row],[FIND NO]] &amp; "*"</f>
        <v>*21*</v>
      </c>
      <c r="C26" s="29" t="s">
        <v>36</v>
      </c>
      <c r="D26" s="30">
        <v>2</v>
      </c>
      <c r="E26" s="30" t="s">
        <v>64</v>
      </c>
      <c r="F26" s="30" t="s">
        <v>91</v>
      </c>
      <c r="G26" s="18" t="s">
        <v>109</v>
      </c>
      <c r="H26" s="31">
        <f>$B$4*Table1[[#This Row],[QTY]]</f>
        <v>2</v>
      </c>
      <c r="I26" s="31">
        <v>100</v>
      </c>
      <c r="J26" s="31">
        <f>Table1[[#This Row],[Need]]+Table1[[#This Row],[Leader Qty]]</f>
        <v>102</v>
      </c>
      <c r="K26" s="31"/>
      <c r="L26" s="31"/>
      <c r="M26" s="31" t="str">
        <f>IF(Table1[[#This Row],[Receive]]&gt;=Table1[[#This Row],[Need]],"READY", "NEED")</f>
        <v>NEED</v>
      </c>
      <c r="N26" s="31" t="s">
        <v>117</v>
      </c>
      <c r="O26" s="31" t="s">
        <v>137</v>
      </c>
      <c r="P26" s="31"/>
    </row>
    <row r="27" spans="1:16" ht="57.6">
      <c r="A27" s="12">
        <v>22</v>
      </c>
      <c r="B27" s="15" t="str">
        <f>"*" &amp; Table1[[#This Row],[FIND NO]] &amp; "*"</f>
        <v>*22*</v>
      </c>
      <c r="C27" s="29" t="s">
        <v>37</v>
      </c>
      <c r="D27" s="30">
        <v>2</v>
      </c>
      <c r="E27" s="30" t="s">
        <v>65</v>
      </c>
      <c r="F27" s="30" t="s">
        <v>92</v>
      </c>
      <c r="G27" s="18" t="s">
        <v>109</v>
      </c>
      <c r="H27" s="31">
        <f>$B$4*Table1[[#This Row],[QTY]]</f>
        <v>2</v>
      </c>
      <c r="I27" s="31">
        <v>100</v>
      </c>
      <c r="J27" s="31">
        <f>Table1[[#This Row],[Need]]+Table1[[#This Row],[Leader Qty]]</f>
        <v>102</v>
      </c>
      <c r="K27" s="31"/>
      <c r="L27" s="31"/>
      <c r="M27" s="31" t="str">
        <f>IF(Table1[[#This Row],[Receive]]&gt;=Table1[[#This Row],[Need]],"READY", "NEED")</f>
        <v>NEED</v>
      </c>
      <c r="N27" s="34" t="s">
        <v>116</v>
      </c>
      <c r="O27" s="34" t="s">
        <v>138</v>
      </c>
      <c r="P27" s="34"/>
    </row>
    <row r="28" spans="1:16" ht="44.4">
      <c r="A28" s="12">
        <v>23</v>
      </c>
      <c r="B28" s="15" t="str">
        <f>"*" &amp; Table1[[#This Row],[FIND NO]] &amp; "*"</f>
        <v>*23*</v>
      </c>
      <c r="C28" s="29" t="s">
        <v>38</v>
      </c>
      <c r="D28" s="30">
        <v>1</v>
      </c>
      <c r="E28" s="30" t="s">
        <v>66</v>
      </c>
      <c r="F28" s="30" t="s">
        <v>93</v>
      </c>
      <c r="G28" s="18" t="s">
        <v>110</v>
      </c>
      <c r="H28" s="31">
        <f>$B$4*Table1[[#This Row],[QTY]]</f>
        <v>1</v>
      </c>
      <c r="I28" s="31"/>
      <c r="J28" s="31">
        <f>Table1[[#This Row],[Need]]+Table1[[#This Row],[Leader Qty]]</f>
        <v>1</v>
      </c>
      <c r="K28" s="31"/>
      <c r="L28" s="31"/>
      <c r="M28" s="31" t="str">
        <f>IF(Table1[[#This Row],[Receive]]&gt;=Table1[[#This Row],[Need]],"READY", "NEED")</f>
        <v>NEED</v>
      </c>
      <c r="N28" s="31" t="s">
        <v>118</v>
      </c>
      <c r="O28" s="31" t="s">
        <v>93</v>
      </c>
      <c r="P28" s="31"/>
    </row>
    <row r="29" spans="1:16" ht="72">
      <c r="A29" s="12">
        <v>24</v>
      </c>
      <c r="B29" s="15" t="str">
        <f>"*" &amp; Table1[[#This Row],[FIND NO]] &amp; "*"</f>
        <v>*24*</v>
      </c>
      <c r="C29" s="29" t="s">
        <v>39</v>
      </c>
      <c r="D29" s="30">
        <v>1</v>
      </c>
      <c r="E29" s="30" t="s">
        <v>67</v>
      </c>
      <c r="F29" s="30" t="s">
        <v>94</v>
      </c>
      <c r="G29" s="18" t="s">
        <v>94</v>
      </c>
      <c r="H29" s="31">
        <f>$B$4*Table1[[#This Row],[QTY]]</f>
        <v>1</v>
      </c>
      <c r="I29" s="31"/>
      <c r="J29" s="31">
        <f>Table1[[#This Row],[Need]]+Table1[[#This Row],[Leader Qty]]</f>
        <v>1</v>
      </c>
      <c r="K29" s="31"/>
      <c r="L29" s="31"/>
      <c r="M29" s="31" t="str">
        <f>IF(Table1[[#This Row],[Receive]]&gt;=Table1[[#This Row],[Need]],"READY", "NEED")</f>
        <v>NEED</v>
      </c>
      <c r="N29" s="34" t="s">
        <v>116</v>
      </c>
      <c r="O29" s="34" t="s">
        <v>139</v>
      </c>
      <c r="P29" s="34"/>
    </row>
    <row r="30" spans="1:16" ht="57.6">
      <c r="A30" s="12">
        <v>25</v>
      </c>
      <c r="B30" s="15" t="str">
        <f>"*" &amp; Table1[[#This Row],[FIND NO]] &amp; "*"</f>
        <v>*25*</v>
      </c>
      <c r="C30" s="29" t="s">
        <v>40</v>
      </c>
      <c r="D30" s="30">
        <v>1</v>
      </c>
      <c r="E30" s="30" t="s">
        <v>68</v>
      </c>
      <c r="F30" s="30" t="s">
        <v>95</v>
      </c>
      <c r="G30" s="18" t="s">
        <v>111</v>
      </c>
      <c r="H30" s="31">
        <f>$B$4*Table1[[#This Row],[QTY]]</f>
        <v>1</v>
      </c>
      <c r="I30" s="31"/>
      <c r="J30" s="31">
        <f>Table1[[#This Row],[Need]]+Table1[[#This Row],[Leader Qty]]</f>
        <v>1</v>
      </c>
      <c r="K30" s="31"/>
      <c r="L30" s="31"/>
      <c r="M30" s="31" t="str">
        <f>IF(Table1[[#This Row],[Receive]]&gt;=Table1[[#This Row],[Need]],"READY", "NEED")</f>
        <v>NEED</v>
      </c>
      <c r="N30" s="31" t="s">
        <v>116</v>
      </c>
      <c r="O30" s="31" t="s">
        <v>140</v>
      </c>
      <c r="P30" s="31"/>
    </row>
    <row r="31" spans="1:16" ht="44.4">
      <c r="A31" s="12">
        <v>26</v>
      </c>
      <c r="B31" s="15" t="str">
        <f>"*" &amp; Table1[[#This Row],[FIND NO]] &amp; "*"</f>
        <v>*26*</v>
      </c>
      <c r="C31" s="29" t="s">
        <v>41</v>
      </c>
      <c r="D31" s="30">
        <v>1</v>
      </c>
      <c r="E31" s="30" t="s">
        <v>69</v>
      </c>
      <c r="F31" s="30" t="s">
        <v>96</v>
      </c>
      <c r="G31" s="18" t="s">
        <v>112</v>
      </c>
      <c r="H31" s="31">
        <f>$B$4*Table1[[#This Row],[QTY]]</f>
        <v>1</v>
      </c>
      <c r="I31" s="31"/>
      <c r="J31" s="31">
        <f>Table1[[#This Row],[Need]]+Table1[[#This Row],[Leader Qty]]</f>
        <v>1</v>
      </c>
      <c r="K31" s="31"/>
      <c r="L31" s="31"/>
      <c r="M31" s="31" t="str">
        <f>IF(Table1[[#This Row],[Receive]]&gt;=Table1[[#This Row],[Need]],"READY", "NEED")</f>
        <v>NEED</v>
      </c>
      <c r="N31" s="34" t="s">
        <v>116</v>
      </c>
      <c r="O31" s="34" t="s">
        <v>141</v>
      </c>
      <c r="P31" s="34"/>
    </row>
    <row r="32" spans="1:16" ht="44.4">
      <c r="A32" s="12">
        <v>27</v>
      </c>
      <c r="B32" s="15" t="str">
        <f>"*" &amp; Table1[[#This Row],[FIND NO]] &amp; "*"</f>
        <v>*27*</v>
      </c>
      <c r="C32" s="29" t="s">
        <v>42</v>
      </c>
      <c r="D32" s="30">
        <v>1</v>
      </c>
      <c r="E32" s="30" t="s">
        <v>70</v>
      </c>
      <c r="F32" s="30" t="s">
        <v>97</v>
      </c>
      <c r="G32" s="18" t="s">
        <v>113</v>
      </c>
      <c r="H32" s="31">
        <f>$B$4*Table1[[#This Row],[QTY]]</f>
        <v>1</v>
      </c>
      <c r="I32" s="31"/>
      <c r="J32" s="31">
        <f>Table1[[#This Row],[Need]]+Table1[[#This Row],[Leader Qty]]</f>
        <v>1</v>
      </c>
      <c r="K32" s="31"/>
      <c r="L32" s="31"/>
      <c r="M32" s="31" t="str">
        <f>IF(Table1[[#This Row],[Receive]]&gt;=Table1[[#This Row],[Need]],"READY", "NEED")</f>
        <v>NEED</v>
      </c>
      <c r="N32" s="31"/>
      <c r="O32" s="31"/>
      <c r="P32" s="31"/>
    </row>
    <row r="33" spans="1:16" ht="44.4">
      <c r="A33" s="12">
        <v>4</v>
      </c>
      <c r="B33" s="15" t="str">
        <f>"*" &amp; Table1[[#This Row],[FIND NO]] &amp; "*"</f>
        <v>*4*</v>
      </c>
      <c r="C33" s="29"/>
      <c r="D33" s="30"/>
      <c r="E33" s="30"/>
      <c r="F33" s="30"/>
      <c r="G33" s="30"/>
      <c r="H33" s="31">
        <f>$B$4*Table1[[#This Row],[QTY]]</f>
        <v>0</v>
      </c>
      <c r="I33" s="31"/>
      <c r="J33" s="31">
        <f>Table1[[#This Row],[Need]]+Table1[[#This Row],[Leader Qty]]</f>
        <v>0</v>
      </c>
      <c r="K33" s="31"/>
      <c r="L33" s="31"/>
      <c r="M33" s="31" t="str">
        <f>IF(Table1[[#This Row],[Receive]]&gt;=Table1[[#This Row],[Need]],"READY", "NEED")</f>
        <v>READY</v>
      </c>
      <c r="N33" s="31"/>
      <c r="O33" s="31"/>
      <c r="P33" s="31"/>
    </row>
    <row r="34" spans="1:16" ht="27" customHeight="1">
      <c r="A34" s="12">
        <v>5</v>
      </c>
      <c r="B34" s="15" t="str">
        <f>"*" &amp; Table1[[#This Row],[FIND NO]] &amp; "*"</f>
        <v>*5*</v>
      </c>
      <c r="C34" s="29"/>
      <c r="D34" s="30"/>
      <c r="E34" s="30"/>
      <c r="F34" s="30"/>
      <c r="G34" s="30"/>
      <c r="H34" s="31">
        <f>$B$4*Table1[[#This Row],[QTY]]</f>
        <v>0</v>
      </c>
      <c r="I34" s="31"/>
      <c r="J34" s="31">
        <f>Table1[[#This Row],[Need]]+Table1[[#This Row],[Leader Qty]]</f>
        <v>0</v>
      </c>
      <c r="K34" s="31"/>
      <c r="L34" s="31"/>
      <c r="M34" s="31" t="str">
        <f>IF(Table1[[#This Row],[Receive]]&gt;=Table1[[#This Row],[Need]],"READY", "NEED")</f>
        <v>READY</v>
      </c>
      <c r="N34" s="31"/>
      <c r="O34" s="31"/>
      <c r="P34" s="31"/>
    </row>
    <row r="35" spans="1:16" ht="27" customHeight="1">
      <c r="A35" s="12">
        <v>6</v>
      </c>
      <c r="B35" s="15" t="str">
        <f>"*" &amp; Table1[[#This Row],[FIND NO]] &amp; "*"</f>
        <v>*6*</v>
      </c>
      <c r="C35" s="29"/>
      <c r="D35" s="30"/>
      <c r="E35" s="30"/>
      <c r="F35" s="30"/>
      <c r="G35" s="30"/>
      <c r="H35" s="31">
        <f>$B$4*Table1[[#This Row],[QTY]]</f>
        <v>0</v>
      </c>
      <c r="I35" s="31"/>
      <c r="J35" s="31">
        <f>Table1[[#This Row],[Need]]+Table1[[#This Row],[Leader Qty]]</f>
        <v>0</v>
      </c>
      <c r="K35" s="31"/>
      <c r="L35" s="31"/>
      <c r="M35" s="31" t="str">
        <f>IF(Table1[[#This Row],[Receive]]&gt;=Table1[[#This Row],[Need]],"READY", "NEED")</f>
        <v>READY</v>
      </c>
      <c r="N35" s="31"/>
      <c r="O35" s="31"/>
      <c r="P35" s="31"/>
    </row>
    <row r="36" spans="1:16" ht="27" customHeight="1">
      <c r="A36" s="12">
        <v>7</v>
      </c>
      <c r="B36" s="15" t="str">
        <f>"*" &amp; Table1[[#This Row],[FIND NO]] &amp; "*"</f>
        <v>*7*</v>
      </c>
      <c r="C36" s="29"/>
      <c r="D36" s="30"/>
      <c r="E36" s="30"/>
      <c r="F36" s="30"/>
      <c r="G36" s="30"/>
      <c r="H36" s="31">
        <f>$B$4*Table1[[#This Row],[QTY]]</f>
        <v>0</v>
      </c>
      <c r="I36" s="31"/>
      <c r="J36" s="31">
        <f>Table1[[#This Row],[Need]]+Table1[[#This Row],[Leader Qty]]</f>
        <v>0</v>
      </c>
      <c r="K36" s="31"/>
      <c r="L36" s="31"/>
      <c r="M36" s="31" t="str">
        <f>IF(Table1[[#This Row],[Receive]]&gt;=Table1[[#This Row],[Need]],"READY", "NEED")</f>
        <v>READY</v>
      </c>
      <c r="N36" s="31"/>
      <c r="O36" s="31"/>
      <c r="P36" s="31"/>
    </row>
    <row r="37" spans="1:16" ht="39" customHeight="1">
      <c r="A37" s="12">
        <v>8</v>
      </c>
      <c r="B37" s="15" t="str">
        <f>"*" &amp; Table1[[#This Row],[FIND NO]] &amp; "*"</f>
        <v>*8*</v>
      </c>
      <c r="C37" s="29"/>
      <c r="D37" s="30"/>
      <c r="E37" s="30"/>
      <c r="F37" s="30"/>
      <c r="G37" s="30"/>
      <c r="H37" s="31">
        <f>$B$4*Table1[[#This Row],[QTY]]</f>
        <v>0</v>
      </c>
      <c r="I37" s="31"/>
      <c r="J37" s="31">
        <f>Table1[[#This Row],[Need]]+Table1[[#This Row],[Leader Qty]]</f>
        <v>0</v>
      </c>
      <c r="K37" s="31"/>
      <c r="L37" s="31"/>
      <c r="M37" s="31" t="str">
        <f>IF(Table1[[#This Row],[Receive]]&gt;=Table1[[#This Row],[Need]],"READY", "NEED")</f>
        <v>READY</v>
      </c>
      <c r="N37" s="31"/>
      <c r="O37" s="31"/>
      <c r="P37" s="31"/>
    </row>
    <row r="38" spans="1:16" ht="36.75" customHeight="1">
      <c r="A38" s="12">
        <v>9</v>
      </c>
      <c r="B38" s="15" t="str">
        <f>"*" &amp; Table1[[#This Row],[FIND NO]] &amp; "*"</f>
        <v>*9*</v>
      </c>
      <c r="C38" s="29"/>
      <c r="D38" s="30"/>
      <c r="E38" s="30"/>
      <c r="F38" s="30"/>
      <c r="G38" s="30"/>
      <c r="H38" s="31">
        <f>$B$4*Table1[[#This Row],[QTY]]</f>
        <v>0</v>
      </c>
      <c r="I38" s="31"/>
      <c r="J38" s="31">
        <f>Table1[[#This Row],[Need]]+Table1[[#This Row],[Leader Qty]]</f>
        <v>0</v>
      </c>
      <c r="K38" s="31"/>
      <c r="L38" s="31"/>
      <c r="M38" s="31" t="str">
        <f>IF(Table1[[#This Row],[Receive]]&gt;=Table1[[#This Row],[Need]],"READY", "NEED")</f>
        <v>READY</v>
      </c>
      <c r="N38" s="31"/>
      <c r="O38" s="31"/>
      <c r="P38" s="31"/>
    </row>
    <row r="39" spans="1:16" ht="27" customHeight="1">
      <c r="A39" s="12">
        <v>10</v>
      </c>
      <c r="B39" s="15" t="str">
        <f>"*" &amp; Table1[[#This Row],[FIND NO]] &amp; "*"</f>
        <v>*10*</v>
      </c>
      <c r="C39" s="29"/>
      <c r="D39" s="30"/>
      <c r="E39" s="30"/>
      <c r="F39" s="30"/>
      <c r="G39" s="30"/>
      <c r="H39" s="31">
        <f>$B$4*Table1[[#This Row],[QTY]]</f>
        <v>0</v>
      </c>
      <c r="I39" s="31"/>
      <c r="J39" s="31">
        <f>Table1[[#This Row],[Need]]+Table1[[#This Row],[Leader Qty]]</f>
        <v>0</v>
      </c>
      <c r="K39" s="31"/>
      <c r="L39" s="31"/>
      <c r="M39" s="31" t="str">
        <f>IF(Table1[[#This Row],[Receive]]&gt;=Table1[[#This Row],[Need]],"READY", "NEED")</f>
        <v>READY</v>
      </c>
      <c r="N39" s="31"/>
      <c r="O39" s="31"/>
      <c r="P39" s="31"/>
    </row>
    <row r="40" spans="1:16" ht="44.4">
      <c r="A40" s="12">
        <v>11</v>
      </c>
      <c r="B40" s="15" t="str">
        <f>"*" &amp; Table1[[#This Row],[FIND NO]] &amp; "*"</f>
        <v>*11*</v>
      </c>
      <c r="C40" s="29"/>
      <c r="D40" s="30"/>
      <c r="E40" s="30"/>
      <c r="F40" s="30"/>
      <c r="G40" s="30"/>
      <c r="H40" s="31">
        <f>$B$4*Table1[[#This Row],[QTY]]</f>
        <v>0</v>
      </c>
      <c r="I40" s="31"/>
      <c r="J40" s="31">
        <f>Table1[[#This Row],[Need]]+Table1[[#This Row],[Leader Qty]]</f>
        <v>0</v>
      </c>
      <c r="K40" s="31"/>
      <c r="L40" s="31"/>
      <c r="M40" s="31" t="str">
        <f>IF(Table1[[#This Row],[Receive]]&gt;=Table1[[#This Row],[Need]],"READY", "NEED")</f>
        <v>READY</v>
      </c>
      <c r="N40" s="31"/>
      <c r="O40" s="31"/>
      <c r="P40" s="31"/>
    </row>
    <row r="41" spans="1:16" ht="44.4">
      <c r="A41" s="12">
        <v>12</v>
      </c>
      <c r="B41" s="15" t="str">
        <f>"*" &amp; Table1[[#This Row],[FIND NO]] &amp; "*"</f>
        <v>*12*</v>
      </c>
      <c r="C41" s="29"/>
      <c r="D41" s="30"/>
      <c r="E41" s="30"/>
      <c r="F41" s="30"/>
      <c r="G41" s="30"/>
      <c r="H41" s="31">
        <f>$B$4*Table1[[#This Row],[QTY]]</f>
        <v>0</v>
      </c>
      <c r="I41" s="31"/>
      <c r="J41" s="31">
        <f>Table1[[#This Row],[Need]]+Table1[[#This Row],[Leader Qty]]</f>
        <v>0</v>
      </c>
      <c r="K41" s="31"/>
      <c r="L41" s="31"/>
      <c r="M41" s="31" t="str">
        <f>IF(Table1[[#This Row],[Receive]]&gt;=Table1[[#This Row],[Need]],"READY", "NEED")</f>
        <v>READY</v>
      </c>
      <c r="N41" s="31"/>
      <c r="O41" s="31"/>
      <c r="P41" s="31"/>
    </row>
    <row r="42" spans="1:16" ht="44.4">
      <c r="A42" s="12">
        <v>13</v>
      </c>
      <c r="B42" s="15" t="str">
        <f>"*" &amp; Table1[[#This Row],[FIND NO]] &amp; "*"</f>
        <v>*13*</v>
      </c>
      <c r="C42" s="29"/>
      <c r="D42" s="30"/>
      <c r="E42" s="30"/>
      <c r="F42" s="30"/>
      <c r="G42" s="30"/>
      <c r="H42" s="31">
        <f>$B$4*Table1[[#This Row],[QTY]]</f>
        <v>0</v>
      </c>
      <c r="I42" s="31"/>
      <c r="J42" s="31">
        <f>Table1[[#This Row],[Need]]+Table1[[#This Row],[Leader Qty]]</f>
        <v>0</v>
      </c>
      <c r="K42" s="31"/>
      <c r="L42" s="31"/>
      <c r="M42" s="31" t="str">
        <f>IF(Table1[[#This Row],[Receive]]&gt;=Table1[[#This Row],[Need]],"READY", "NEED")</f>
        <v>READY</v>
      </c>
      <c r="N42" s="31"/>
      <c r="O42" s="31"/>
      <c r="P42" s="31"/>
    </row>
    <row r="43" spans="1:16" ht="44.4">
      <c r="A43" s="12">
        <v>14</v>
      </c>
      <c r="B43" s="15" t="str">
        <f>"*" &amp; Table1[[#This Row],[FIND NO]] &amp; "*"</f>
        <v>*14*</v>
      </c>
      <c r="C43" s="29"/>
      <c r="D43" s="30"/>
      <c r="E43" s="30"/>
      <c r="F43" s="30"/>
      <c r="G43" s="30"/>
      <c r="H43" s="31">
        <f>$B$4*Table1[[#This Row],[QTY]]</f>
        <v>0</v>
      </c>
      <c r="I43" s="31"/>
      <c r="J43" s="31">
        <f>Table1[[#This Row],[Need]]+Table1[[#This Row],[Leader Qty]]</f>
        <v>0</v>
      </c>
      <c r="K43" s="31"/>
      <c r="L43" s="31"/>
      <c r="M43" s="31" t="str">
        <f>IF(Table1[[#This Row],[Receive]]&gt;=Table1[[#This Row],[Need]],"READY", "NEED")</f>
        <v>READY</v>
      </c>
      <c r="N43" s="31"/>
      <c r="O43" s="31"/>
      <c r="P43" s="31"/>
    </row>
    <row r="44" spans="1:16" ht="44.4">
      <c r="A44" s="12">
        <v>15</v>
      </c>
      <c r="B44" s="15" t="str">
        <f>"*" &amp; Table1[[#This Row],[FIND NO]] &amp; "*"</f>
        <v>*15*</v>
      </c>
      <c r="C44" s="29"/>
      <c r="D44" s="30"/>
      <c r="E44" s="30"/>
      <c r="F44" s="30"/>
      <c r="G44" s="30"/>
      <c r="H44" s="31">
        <f>$B$4*Table1[[#This Row],[QTY]]</f>
        <v>0</v>
      </c>
      <c r="I44" s="31"/>
      <c r="J44" s="31">
        <f>Table1[[#This Row],[Need]]+Table1[[#This Row],[Leader Qty]]</f>
        <v>0</v>
      </c>
      <c r="K44" s="31"/>
      <c r="L44" s="31"/>
      <c r="M44" s="31" t="str">
        <f>IF(Table1[[#This Row],[Receive]]&gt;=Table1[[#This Row],[Need]],"READY", "NEED")</f>
        <v>READY</v>
      </c>
      <c r="N44" s="31"/>
      <c r="O44" s="31"/>
      <c r="P44" s="31"/>
    </row>
    <row r="45" spans="1:16" ht="44.4">
      <c r="A45" s="12">
        <v>16</v>
      </c>
      <c r="B45" s="15" t="str">
        <f>"*" &amp; Table1[[#This Row],[FIND NO]] &amp; "*"</f>
        <v>*16*</v>
      </c>
      <c r="C45" s="29"/>
      <c r="D45" s="30"/>
      <c r="E45" s="30"/>
      <c r="F45" s="30"/>
      <c r="G45" s="30"/>
      <c r="H45" s="31">
        <f>$B$4*Table1[[#This Row],[QTY]]</f>
        <v>0</v>
      </c>
      <c r="I45" s="31"/>
      <c r="J45" s="31">
        <f>Table1[[#This Row],[Need]]+Table1[[#This Row],[Leader Qty]]</f>
        <v>0</v>
      </c>
      <c r="K45" s="31"/>
      <c r="L45" s="31"/>
      <c r="M45" s="31" t="str">
        <f>IF(Table1[[#This Row],[Receive]]&gt;=Table1[[#This Row],[Need]],"READY", "NEED")</f>
        <v>READY</v>
      </c>
      <c r="N45" s="31"/>
      <c r="O45" s="31"/>
      <c r="P45" s="31"/>
    </row>
    <row r="46" spans="1:16" ht="44.4">
      <c r="A46" s="12">
        <v>17</v>
      </c>
      <c r="B46" s="15" t="str">
        <f>"*" &amp; Table1[[#This Row],[FIND NO]] &amp; "*"</f>
        <v>*17*</v>
      </c>
      <c r="C46" s="29"/>
      <c r="D46" s="30"/>
      <c r="E46" s="30"/>
      <c r="F46" s="30"/>
      <c r="G46" s="30"/>
      <c r="H46" s="31">
        <f>$B$4*Table1[[#This Row],[QTY]]</f>
        <v>0</v>
      </c>
      <c r="I46" s="31"/>
      <c r="J46" s="31">
        <f>Table1[[#This Row],[Need]]+Table1[[#This Row],[Leader Qty]]</f>
        <v>0</v>
      </c>
      <c r="K46" s="31"/>
      <c r="L46" s="31"/>
      <c r="M46" s="31" t="str">
        <f>IF(Table1[[#This Row],[Receive]]&gt;=Table1[[#This Row],[Need]],"READY", "NEED")</f>
        <v>READY</v>
      </c>
      <c r="N46" s="31"/>
      <c r="O46" s="31"/>
      <c r="P46" s="31"/>
    </row>
    <row r="47" spans="1:16" ht="44.4">
      <c r="A47" s="12">
        <v>18</v>
      </c>
      <c r="B47" s="15" t="str">
        <f>"*" &amp; Table1[[#This Row],[FIND NO]] &amp; "*"</f>
        <v>*18*</v>
      </c>
      <c r="C47" s="29"/>
      <c r="D47" s="30"/>
      <c r="E47" s="30"/>
      <c r="F47" s="30"/>
      <c r="G47" s="30"/>
      <c r="H47" s="31">
        <f>$B$4*Table1[[#This Row],[QTY]]</f>
        <v>0</v>
      </c>
      <c r="I47" s="31"/>
      <c r="J47" s="31">
        <f>Table1[[#This Row],[Need]]+Table1[[#This Row],[Leader Qty]]</f>
        <v>0</v>
      </c>
      <c r="K47" s="31"/>
      <c r="L47" s="31"/>
      <c r="M47" s="31" t="str">
        <f>IF(Table1[[#This Row],[Receive]]&gt;=Table1[[#This Row],[Need]],"READY", "NEED")</f>
        <v>READY</v>
      </c>
      <c r="N47" s="31"/>
      <c r="O47" s="31"/>
      <c r="P47" s="31"/>
    </row>
    <row r="48" spans="1:16" ht="44.4">
      <c r="A48" s="12">
        <v>19</v>
      </c>
      <c r="B48" s="15" t="str">
        <f>"*" &amp; Table1[[#This Row],[FIND NO]] &amp; "*"</f>
        <v>*19*</v>
      </c>
      <c r="C48" s="29"/>
      <c r="D48" s="30"/>
      <c r="E48" s="30"/>
      <c r="F48" s="30"/>
      <c r="G48" s="30"/>
      <c r="H48" s="31">
        <f>$B$4*Table1[[#This Row],[QTY]]</f>
        <v>0</v>
      </c>
      <c r="I48" s="31"/>
      <c r="J48" s="31">
        <f>Table1[[#This Row],[Need]]+Table1[[#This Row],[Leader Qty]]</f>
        <v>0</v>
      </c>
      <c r="K48" s="31"/>
      <c r="L48" s="31"/>
      <c r="M48" s="31" t="str">
        <f>IF(Table1[[#This Row],[Receive]]&gt;=Table1[[#This Row],[Need]],"READY", "NEED")</f>
        <v>READY</v>
      </c>
      <c r="N48" s="31"/>
      <c r="O48" s="31"/>
      <c r="P48" s="31"/>
    </row>
    <row r="49" spans="1:16" ht="44.4">
      <c r="A49" s="12">
        <v>20</v>
      </c>
      <c r="B49" s="15" t="str">
        <f>"*" &amp; Table1[[#This Row],[FIND NO]] &amp; "*"</f>
        <v>*20*</v>
      </c>
      <c r="C49" s="29"/>
      <c r="D49" s="30"/>
      <c r="E49" s="30"/>
      <c r="F49" s="30"/>
      <c r="G49" s="30"/>
      <c r="H49" s="31">
        <f>$B$4*Table1[[#This Row],[QTY]]</f>
        <v>0</v>
      </c>
      <c r="I49" s="31"/>
      <c r="J49" s="31">
        <f>Table1[[#This Row],[Need]]+Table1[[#This Row],[Leader Qty]]</f>
        <v>0</v>
      </c>
      <c r="K49" s="31"/>
      <c r="L49" s="31"/>
      <c r="M49" s="31" t="str">
        <f>IF(Table1[[#This Row],[Receive]]&gt;=Table1[[#This Row],[Need]],"READY", "NEED")</f>
        <v>READY</v>
      </c>
      <c r="N49" s="31"/>
      <c r="O49" s="31"/>
      <c r="P49" s="31"/>
    </row>
    <row r="50" spans="1:16" ht="44.4">
      <c r="A50" s="12">
        <v>21</v>
      </c>
      <c r="B50" s="15" t="str">
        <f>"*" &amp; Table1[[#This Row],[FIND NO]] &amp; "*"</f>
        <v>*21*</v>
      </c>
      <c r="C50" s="29"/>
      <c r="D50" s="30"/>
      <c r="E50" s="30"/>
      <c r="F50" s="30"/>
      <c r="G50" s="30"/>
      <c r="H50" s="31">
        <f>$B$4*Table1[[#This Row],[QTY]]</f>
        <v>0</v>
      </c>
      <c r="I50" s="31"/>
      <c r="J50" s="31">
        <f>Table1[[#This Row],[Need]]+Table1[[#This Row],[Leader Qty]]</f>
        <v>0</v>
      </c>
      <c r="K50" s="31"/>
      <c r="L50" s="31"/>
      <c r="M50" s="31" t="str">
        <f>IF(Table1[[#This Row],[Receive]]&gt;=Table1[[#This Row],[Need]],"READY", "NEED")</f>
        <v>READY</v>
      </c>
      <c r="N50" s="31"/>
      <c r="O50" s="31"/>
      <c r="P50" s="31"/>
    </row>
    <row r="51" spans="1:16" ht="44.4">
      <c r="A51" s="12">
        <v>22</v>
      </c>
      <c r="B51" s="15" t="str">
        <f>"*" &amp; Table1[[#This Row],[FIND NO]] &amp; "*"</f>
        <v>*22*</v>
      </c>
      <c r="C51" s="29"/>
      <c r="D51" s="30"/>
      <c r="E51" s="30"/>
      <c r="F51" s="30"/>
      <c r="G51" s="30"/>
      <c r="H51" s="31">
        <f>$B$4*Table1[[#This Row],[QTY]]</f>
        <v>0</v>
      </c>
      <c r="I51" s="31"/>
      <c r="J51" s="31">
        <f>Table1[[#This Row],[Need]]+Table1[[#This Row],[Leader Qty]]</f>
        <v>0</v>
      </c>
      <c r="K51" s="31"/>
      <c r="L51" s="31"/>
      <c r="M51" s="31" t="str">
        <f>IF(Table1[[#This Row],[Receive]]&gt;=Table1[[#This Row],[Need]],"READY", "NEED")</f>
        <v>READY</v>
      </c>
      <c r="N51" s="31"/>
      <c r="O51" s="31"/>
      <c r="P51" s="31"/>
    </row>
    <row r="52" spans="1:16" ht="44.4">
      <c r="A52" s="12">
        <v>23</v>
      </c>
      <c r="B52" s="15" t="str">
        <f>"*" &amp; Table1[[#This Row],[FIND NO]] &amp; "*"</f>
        <v>*23*</v>
      </c>
      <c r="C52" s="29"/>
      <c r="D52" s="30"/>
      <c r="E52" s="30"/>
      <c r="F52" s="30"/>
      <c r="G52" s="30"/>
      <c r="H52" s="31">
        <f>$B$4*Table1[[#This Row],[QTY]]</f>
        <v>0</v>
      </c>
      <c r="I52" s="31"/>
      <c r="J52" s="31">
        <f>Table1[[#This Row],[Need]]+Table1[[#This Row],[Leader Qty]]</f>
        <v>0</v>
      </c>
      <c r="K52" s="31"/>
      <c r="L52" s="31"/>
      <c r="M52" s="31" t="str">
        <f>IF(Table1[[#This Row],[Receive]]&gt;=Table1[[#This Row],[Need]],"READY", "NEED")</f>
        <v>READY</v>
      </c>
      <c r="N52" s="31"/>
      <c r="O52" s="31"/>
      <c r="P52" s="31"/>
    </row>
    <row r="53" spans="1:16" ht="44.4">
      <c r="A53" s="12">
        <v>24</v>
      </c>
      <c r="B53" s="15" t="str">
        <f>"*" &amp; Table1[[#This Row],[FIND NO]] &amp; "*"</f>
        <v>*24*</v>
      </c>
      <c r="C53" s="29"/>
      <c r="D53" s="30"/>
      <c r="E53" s="30"/>
      <c r="F53" s="30"/>
      <c r="G53" s="30"/>
      <c r="H53" s="31">
        <f>$B$4*Table1[[#This Row],[QTY]]</f>
        <v>0</v>
      </c>
      <c r="I53" s="31"/>
      <c r="J53" s="31">
        <f>Table1[[#This Row],[Need]]+Table1[[#This Row],[Leader Qty]]</f>
        <v>0</v>
      </c>
      <c r="K53" s="31"/>
      <c r="L53" s="31"/>
      <c r="M53" s="31" t="str">
        <f>IF(Table1[[#This Row],[Receive]]&gt;=Table1[[#This Row],[Need]],"READY", "NEED")</f>
        <v>READY</v>
      </c>
      <c r="N53" s="31"/>
      <c r="O53" s="31"/>
      <c r="P53" s="31"/>
    </row>
    <row r="54" spans="1:16" ht="44.4">
      <c r="A54" s="12">
        <v>25</v>
      </c>
      <c r="B54" s="15" t="str">
        <f>"*" &amp; Table1[[#This Row],[FIND NO]] &amp; "*"</f>
        <v>*25*</v>
      </c>
      <c r="C54" s="29"/>
      <c r="D54" s="30"/>
      <c r="E54" s="30"/>
      <c r="F54" s="30"/>
      <c r="G54" s="30"/>
      <c r="H54" s="31">
        <f>$B$4*Table1[[#This Row],[QTY]]</f>
        <v>0</v>
      </c>
      <c r="I54" s="31"/>
      <c r="J54" s="31">
        <f>Table1[[#This Row],[Need]]+Table1[[#This Row],[Leader Qty]]</f>
        <v>0</v>
      </c>
      <c r="K54" s="31"/>
      <c r="L54" s="31"/>
      <c r="M54" s="31" t="str">
        <f>IF(Table1[[#This Row],[Receive]]&gt;=Table1[[#This Row],[Need]],"READY", "NEED")</f>
        <v>READY</v>
      </c>
      <c r="N54" s="31"/>
      <c r="O54" s="31"/>
      <c r="P54" s="31"/>
    </row>
    <row r="55" spans="1:16" ht="44.4">
      <c r="A55" s="12">
        <v>26</v>
      </c>
      <c r="B55" s="15" t="str">
        <f>"*" &amp; Table1[[#This Row],[FIND NO]] &amp; "*"</f>
        <v>*26*</v>
      </c>
      <c r="C55" s="29"/>
      <c r="D55" s="30"/>
      <c r="E55" s="30"/>
      <c r="F55" s="30"/>
      <c r="G55" s="30"/>
      <c r="H55" s="31">
        <f>$B$4*Table1[[#This Row],[QTY]]</f>
        <v>0</v>
      </c>
      <c r="I55" s="31"/>
      <c r="J55" s="31">
        <f>Table1[[#This Row],[Need]]+Table1[[#This Row],[Leader Qty]]</f>
        <v>0</v>
      </c>
      <c r="K55" s="31"/>
      <c r="L55" s="31"/>
      <c r="M55" s="31" t="str">
        <f>IF(Table1[[#This Row],[Receive]]&gt;=Table1[[#This Row],[Need]],"READY", "NEED")</f>
        <v>READY</v>
      </c>
      <c r="N55" s="31"/>
      <c r="O55" s="31"/>
      <c r="P55" s="31"/>
    </row>
    <row r="56" spans="1:16" ht="44.4">
      <c r="A56" s="12">
        <v>27</v>
      </c>
      <c r="B56" s="15" t="str">
        <f>"*" &amp; Table1[[#This Row],[FIND NO]] &amp; "*"</f>
        <v>*27*</v>
      </c>
      <c r="C56" s="29"/>
      <c r="D56" s="30"/>
      <c r="E56" s="30"/>
      <c r="F56" s="30"/>
      <c r="G56" s="30"/>
      <c r="H56" s="31">
        <f>$B$4*Table1[[#This Row],[QTY]]</f>
        <v>0</v>
      </c>
      <c r="I56" s="31"/>
      <c r="J56" s="31">
        <f>Table1[[#This Row],[Need]]+Table1[[#This Row],[Leader Qty]]</f>
        <v>0</v>
      </c>
      <c r="K56" s="31"/>
      <c r="L56" s="31"/>
      <c r="M56" s="31" t="str">
        <f>IF(Table1[[#This Row],[Receive]]&gt;=Table1[[#This Row],[Need]],"READY", "NEED")</f>
        <v>READY</v>
      </c>
      <c r="N56" s="31"/>
      <c r="O56" s="31"/>
      <c r="P56" s="31"/>
    </row>
    <row r="57" spans="1:16" ht="44.4">
      <c r="A57" s="12">
        <v>28</v>
      </c>
      <c r="B57" s="15" t="str">
        <f>"*" &amp; Table1[[#This Row],[FIND NO]] &amp; "*"</f>
        <v>*28*</v>
      </c>
      <c r="C57" s="29"/>
      <c r="D57" s="30"/>
      <c r="E57" s="30"/>
      <c r="F57" s="30"/>
      <c r="G57" s="30"/>
      <c r="H57" s="31">
        <f>$B$4*Table1[[#This Row],[QTY]]</f>
        <v>0</v>
      </c>
      <c r="I57" s="31"/>
      <c r="J57" s="31">
        <f>Table1[[#This Row],[Need]]+Table1[[#This Row],[Leader Qty]]</f>
        <v>0</v>
      </c>
      <c r="K57" s="31"/>
      <c r="L57" s="31"/>
      <c r="M57" s="31" t="str">
        <f>IF(Table1[[#This Row],[Receive]]&gt;=Table1[[#This Row],[Need]],"READY", "NEED")</f>
        <v>READY</v>
      </c>
      <c r="N57" s="31"/>
      <c r="O57" s="31"/>
      <c r="P57" s="31"/>
    </row>
    <row r="58" spans="1:16" ht="44.4">
      <c r="A58" s="12">
        <v>29</v>
      </c>
      <c r="B58" s="15" t="str">
        <f>"*" &amp; Table1[[#This Row],[FIND NO]] &amp; "*"</f>
        <v>*29*</v>
      </c>
      <c r="C58" s="29"/>
      <c r="D58" s="30"/>
      <c r="E58" s="30"/>
      <c r="F58" s="30"/>
      <c r="G58" s="30"/>
      <c r="H58" s="31">
        <f>$B$4*Table1[[#This Row],[QTY]]</f>
        <v>0</v>
      </c>
      <c r="I58" s="31"/>
      <c r="J58" s="31">
        <f>Table1[[#This Row],[Need]]+Table1[[#This Row],[Leader Qty]]</f>
        <v>0</v>
      </c>
      <c r="K58" s="31"/>
      <c r="L58" s="31"/>
      <c r="M58" s="31" t="str">
        <f>IF(Table1[[#This Row],[Receive]]&gt;=Table1[[#This Row],[Need]],"READY", "NEED")</f>
        <v>READY</v>
      </c>
      <c r="N58" s="31"/>
      <c r="O58" s="31"/>
      <c r="P58" s="31"/>
    </row>
    <row r="59" spans="1:16" ht="44.4">
      <c r="A59" s="12">
        <v>30</v>
      </c>
      <c r="B59" s="15" t="str">
        <f>"*" &amp; Table1[[#This Row],[FIND NO]] &amp; "*"</f>
        <v>*30*</v>
      </c>
      <c r="C59" s="29"/>
      <c r="D59" s="30"/>
      <c r="E59" s="30"/>
      <c r="F59" s="30"/>
      <c r="G59" s="30"/>
      <c r="H59" s="31">
        <f>$B$4*Table1[[#This Row],[QTY]]</f>
        <v>0</v>
      </c>
      <c r="I59" s="31"/>
      <c r="J59" s="31">
        <f>Table1[[#This Row],[Need]]+Table1[[#This Row],[Leader Qty]]</f>
        <v>0</v>
      </c>
      <c r="K59" s="31"/>
      <c r="L59" s="31"/>
      <c r="M59" s="31" t="str">
        <f>IF(Table1[[#This Row],[Receive]]&gt;=Table1[[#This Row],[Need]],"READY", "NEED")</f>
        <v>READY</v>
      </c>
      <c r="N59" s="31"/>
      <c r="O59" s="31"/>
      <c r="P59" s="31"/>
    </row>
    <row r="60" spans="1:16" ht="44.4">
      <c r="A60" s="12">
        <v>31</v>
      </c>
      <c r="B60" s="15" t="str">
        <f>"*" &amp; Table1[[#This Row],[FIND NO]] &amp; "*"</f>
        <v>*31*</v>
      </c>
      <c r="C60" s="29"/>
      <c r="D60" s="30"/>
      <c r="E60" s="30"/>
      <c r="F60" s="30"/>
      <c r="G60" s="30"/>
      <c r="H60" s="31">
        <f>$B$4*Table1[[#This Row],[QTY]]</f>
        <v>0</v>
      </c>
      <c r="I60" s="31"/>
      <c r="J60" s="31">
        <f>Table1[[#This Row],[Need]]+Table1[[#This Row],[Leader Qty]]</f>
        <v>0</v>
      </c>
      <c r="K60" s="31"/>
      <c r="L60" s="31"/>
      <c r="M60" s="31" t="str">
        <f>IF(Table1[[#This Row],[Receive]]&gt;=Table1[[#This Row],[Need]],"READY", "NEED")</f>
        <v>READY</v>
      </c>
      <c r="N60" s="31"/>
      <c r="O60" s="31"/>
      <c r="P60" s="31"/>
    </row>
    <row r="61" spans="1:16" ht="44.4">
      <c r="A61" s="12">
        <v>32</v>
      </c>
      <c r="B61" s="15" t="str">
        <f>"*" &amp; Table1[[#This Row],[FIND NO]] &amp; "*"</f>
        <v>*32*</v>
      </c>
      <c r="C61" s="29"/>
      <c r="D61" s="30"/>
      <c r="E61" s="30"/>
      <c r="F61" s="30"/>
      <c r="G61" s="30"/>
      <c r="H61" s="31">
        <f>$B$4*Table1[[#This Row],[QTY]]</f>
        <v>0</v>
      </c>
      <c r="I61" s="31"/>
      <c r="J61" s="31">
        <f>Table1[[#This Row],[Need]]+Table1[[#This Row],[Leader Qty]]</f>
        <v>0</v>
      </c>
      <c r="K61" s="31"/>
      <c r="L61" s="31"/>
      <c r="M61" s="31" t="str">
        <f>IF(Table1[[#This Row],[Receive]]&gt;=Table1[[#This Row],[Need]],"READY", "NEED")</f>
        <v>READY</v>
      </c>
      <c r="N61" s="31"/>
      <c r="O61" s="31"/>
      <c r="P61" s="31"/>
    </row>
    <row r="62" spans="1:16" ht="44.4">
      <c r="A62" s="12">
        <v>33</v>
      </c>
      <c r="B62" s="15" t="str">
        <f>"*" &amp; Table1[[#This Row],[FIND NO]] &amp; "*"</f>
        <v>*33*</v>
      </c>
      <c r="C62" s="29"/>
      <c r="D62" s="30"/>
      <c r="E62" s="30"/>
      <c r="F62" s="30"/>
      <c r="G62" s="30"/>
      <c r="H62" s="31">
        <f>$B$4*Table1[[#This Row],[QTY]]</f>
        <v>0</v>
      </c>
      <c r="I62" s="31"/>
      <c r="J62" s="31">
        <f>Table1[[#This Row],[Need]]+Table1[[#This Row],[Leader Qty]]</f>
        <v>0</v>
      </c>
      <c r="K62" s="31"/>
      <c r="L62" s="31"/>
      <c r="M62" s="31" t="str">
        <f>IF(Table1[[#This Row],[Receive]]&gt;=Table1[[#This Row],[Need]],"READY", "NEED")</f>
        <v>READY</v>
      </c>
      <c r="N62" s="31"/>
      <c r="O62" s="31"/>
      <c r="P62" s="31"/>
    </row>
    <row r="63" spans="1:16" ht="44.4">
      <c r="A63" s="12">
        <v>34</v>
      </c>
      <c r="B63" s="15" t="str">
        <f>"*" &amp; Table1[[#This Row],[FIND NO]] &amp; "*"</f>
        <v>*34*</v>
      </c>
      <c r="C63" s="29"/>
      <c r="D63" s="30"/>
      <c r="E63" s="30"/>
      <c r="F63" s="30"/>
      <c r="G63" s="30"/>
      <c r="H63" s="31">
        <f>$B$4*Table1[[#This Row],[QTY]]</f>
        <v>0</v>
      </c>
      <c r="I63" s="31"/>
      <c r="J63" s="31">
        <f>Table1[[#This Row],[Need]]+Table1[[#This Row],[Leader Qty]]</f>
        <v>0</v>
      </c>
      <c r="K63" s="31"/>
      <c r="L63" s="31"/>
      <c r="M63" s="31" t="str">
        <f>IF(Table1[[#This Row],[Receive]]&gt;=Table1[[#This Row],[Need]],"READY", "NEED")</f>
        <v>READY</v>
      </c>
      <c r="N63" s="31"/>
      <c r="O63" s="31"/>
      <c r="P63" s="31"/>
    </row>
    <row r="64" spans="1:16" ht="44.4">
      <c r="A64" s="12">
        <v>35</v>
      </c>
      <c r="B64" s="15" t="str">
        <f>"*" &amp; Table1[[#This Row],[FIND NO]] &amp; "*"</f>
        <v>*35*</v>
      </c>
      <c r="C64" s="29"/>
      <c r="D64" s="30"/>
      <c r="E64" s="30"/>
      <c r="F64" s="30"/>
      <c r="G64" s="30"/>
      <c r="H64" s="31">
        <f>$B$4*Table1[[#This Row],[QTY]]</f>
        <v>0</v>
      </c>
      <c r="I64" s="31"/>
      <c r="J64" s="31">
        <f>Table1[[#This Row],[Need]]+Table1[[#This Row],[Leader Qty]]</f>
        <v>0</v>
      </c>
      <c r="K64" s="31"/>
      <c r="L64" s="31"/>
      <c r="M64" s="31" t="str">
        <f>IF(Table1[[#This Row],[Receive]]&gt;=Table1[[#This Row],[Need]],"READY", "NEED")</f>
        <v>READY</v>
      </c>
      <c r="N64" s="31"/>
      <c r="O64" s="31"/>
      <c r="P64" s="31"/>
    </row>
    <row r="65" spans="1:16" ht="44.4">
      <c r="A65" s="12">
        <v>36</v>
      </c>
      <c r="B65" s="15" t="str">
        <f>"*" &amp; Table1[[#This Row],[FIND NO]] &amp; "*"</f>
        <v>*36*</v>
      </c>
      <c r="C65" s="29"/>
      <c r="D65" s="30"/>
      <c r="E65" s="30"/>
      <c r="F65" s="30"/>
      <c r="G65" s="30"/>
      <c r="H65" s="31">
        <f>$B$4*Table1[[#This Row],[QTY]]</f>
        <v>0</v>
      </c>
      <c r="I65" s="31"/>
      <c r="J65" s="31">
        <f>Table1[[#This Row],[Need]]+Table1[[#This Row],[Leader Qty]]</f>
        <v>0</v>
      </c>
      <c r="K65" s="31"/>
      <c r="L65" s="31"/>
      <c r="M65" s="31" t="str">
        <f>IF(Table1[[#This Row],[Receive]]&gt;=Table1[[#This Row],[Need]],"READY", "NEED")</f>
        <v>READY</v>
      </c>
      <c r="N65" s="31"/>
      <c r="O65" s="31"/>
      <c r="P65" s="31"/>
    </row>
    <row r="66" spans="1:16" ht="62.25" customHeight="1">
      <c r="A66" s="12">
        <v>37</v>
      </c>
      <c r="B66" s="15" t="str">
        <f>"*" &amp; Table1[[#This Row],[FIND NO]] &amp; "*"</f>
        <v>*37*</v>
      </c>
      <c r="C66" s="29"/>
      <c r="D66" s="30"/>
      <c r="E66" s="30"/>
      <c r="F66" s="30"/>
      <c r="G66" s="30"/>
      <c r="H66" s="31">
        <f>$B$4*Table1[[#This Row],[QTY]]</f>
        <v>0</v>
      </c>
      <c r="I66" s="31"/>
      <c r="J66" s="31">
        <f>Table1[[#This Row],[Need]]+Table1[[#This Row],[Leader Qty]]</f>
        <v>0</v>
      </c>
      <c r="K66" s="31"/>
      <c r="L66" s="31"/>
      <c r="M66" s="31" t="str">
        <f>IF(Table1[[#This Row],[Receive]]&gt;=Table1[[#This Row],[Need]],"READY", "NEED")</f>
        <v>READY</v>
      </c>
      <c r="N66" s="31"/>
      <c r="O66" s="31"/>
      <c r="P66" s="31"/>
    </row>
    <row r="67" spans="1:16" ht="44.4">
      <c r="A67" s="12">
        <v>38</v>
      </c>
      <c r="B67" s="15" t="str">
        <f>"*" &amp; Table1[[#This Row],[FIND NO]] &amp; "*"</f>
        <v>*38*</v>
      </c>
      <c r="C67" s="29"/>
      <c r="D67" s="30"/>
      <c r="E67" s="30"/>
      <c r="F67" s="30"/>
      <c r="G67" s="30"/>
      <c r="H67" s="31">
        <f>$B$4*Table1[[#This Row],[QTY]]</f>
        <v>0</v>
      </c>
      <c r="I67" s="31"/>
      <c r="J67" s="31">
        <f>Table1[[#This Row],[Need]]+Table1[[#This Row],[Leader Qty]]</f>
        <v>0</v>
      </c>
      <c r="K67" s="31"/>
      <c r="L67" s="31"/>
      <c r="M67" s="31" t="str">
        <f>IF(Table1[[#This Row],[Receive]]&gt;=Table1[[#This Row],[Need]],"READY", "NEED")</f>
        <v>READY</v>
      </c>
      <c r="N67" s="31"/>
      <c r="O67" s="31"/>
      <c r="P67" s="31"/>
    </row>
    <row r="68" spans="1:16" ht="44.4">
      <c r="A68" s="12">
        <v>39</v>
      </c>
      <c r="B68" s="15" t="str">
        <f>"*" &amp; Table1[[#This Row],[FIND NO]] &amp; "*"</f>
        <v>*39*</v>
      </c>
      <c r="C68" s="29"/>
      <c r="D68" s="30"/>
      <c r="E68" s="30"/>
      <c r="F68" s="30"/>
      <c r="G68" s="30"/>
      <c r="H68" s="31">
        <f>$B$4*Table1[[#This Row],[QTY]]</f>
        <v>0</v>
      </c>
      <c r="I68" s="31"/>
      <c r="J68" s="31">
        <f>Table1[[#This Row],[Need]]+Table1[[#This Row],[Leader Qty]]</f>
        <v>0</v>
      </c>
      <c r="K68" s="31"/>
      <c r="L68" s="31"/>
      <c r="M68" s="31" t="str">
        <f>IF(Table1[[#This Row],[Receive]]&gt;=Table1[[#This Row],[Need]],"READY", "NEED")</f>
        <v>READY</v>
      </c>
      <c r="N68" s="31"/>
      <c r="O68" s="31"/>
      <c r="P68" s="31"/>
    </row>
    <row r="69" spans="1:16" ht="44.4">
      <c r="A69" s="12">
        <v>40</v>
      </c>
      <c r="B69" s="15" t="str">
        <f>"*" &amp; Table1[[#This Row],[FIND NO]] &amp; "*"</f>
        <v>*40*</v>
      </c>
      <c r="C69" s="29"/>
      <c r="D69" s="30"/>
      <c r="E69" s="30"/>
      <c r="F69" s="30"/>
      <c r="G69" s="30"/>
      <c r="H69" s="31">
        <f>$B$4*Table1[[#This Row],[QTY]]</f>
        <v>0</v>
      </c>
      <c r="I69" s="31"/>
      <c r="J69" s="31">
        <f>Table1[[#This Row],[Need]]+Table1[[#This Row],[Leader Qty]]</f>
        <v>0</v>
      </c>
      <c r="K69" s="31"/>
      <c r="L69" s="31"/>
      <c r="M69" s="31" t="str">
        <f>IF(Table1[[#This Row],[Receive]]&gt;=Table1[[#This Row],[Need]],"READY", "NEED")</f>
        <v>READY</v>
      </c>
      <c r="N69" s="31"/>
      <c r="O69" s="31"/>
      <c r="P69" s="31"/>
    </row>
    <row r="70" spans="1:16" ht="49.5" customHeight="1">
      <c r="A70" s="12">
        <v>41</v>
      </c>
      <c r="B70" s="15" t="str">
        <f>"*" &amp; Table1[[#This Row],[FIND NO]] &amp; "*"</f>
        <v>*41*</v>
      </c>
      <c r="C70" s="29"/>
      <c r="D70" s="30"/>
      <c r="E70" s="32"/>
      <c r="F70" s="30"/>
      <c r="G70" s="30"/>
      <c r="H70" s="31">
        <f>$B$4*Table1[[#This Row],[QTY]]</f>
        <v>0</v>
      </c>
      <c r="I70" s="31"/>
      <c r="J70" s="31">
        <f>Table1[[#This Row],[Need]]+Table1[[#This Row],[Leader Qty]]</f>
        <v>0</v>
      </c>
      <c r="K70" s="31"/>
      <c r="L70" s="31"/>
      <c r="M70" s="31" t="str">
        <f>IF(Table1[[#This Row],[Receive]]&gt;=Table1[[#This Row],[Need]],"READY", "NEED")</f>
        <v>READY</v>
      </c>
      <c r="N70" s="31"/>
      <c r="O70" s="31"/>
      <c r="P70" s="31"/>
    </row>
    <row r="71" spans="1:16" ht="44.4">
      <c r="A71" s="12">
        <v>42</v>
      </c>
      <c r="B71" s="15" t="str">
        <f>"*" &amp; Table1[[#This Row],[FIND NO]] &amp; "*"</f>
        <v>*42*</v>
      </c>
      <c r="C71" s="29"/>
      <c r="D71" s="30"/>
      <c r="E71" s="32"/>
      <c r="F71" s="30"/>
      <c r="G71" s="30"/>
      <c r="H71" s="31">
        <f>$B$4*Table1[[#This Row],[QTY]]</f>
        <v>0</v>
      </c>
      <c r="I71" s="31"/>
      <c r="J71" s="31">
        <f>Table1[[#This Row],[Need]]+Table1[[#This Row],[Leader Qty]]</f>
        <v>0</v>
      </c>
      <c r="K71" s="31"/>
      <c r="L71" s="31"/>
      <c r="M71" s="31" t="str">
        <f>IF(Table1[[#This Row],[Receive]]&gt;=Table1[[#This Row],[Need]],"READY", "NEED")</f>
        <v>READY</v>
      </c>
      <c r="N71" s="31"/>
      <c r="O71" s="31"/>
      <c r="P71" s="31"/>
    </row>
    <row r="72" spans="1:16" ht="44.4">
      <c r="A72" s="12">
        <v>43</v>
      </c>
      <c r="B72" s="15" t="str">
        <f>"*" &amp; Table1[[#This Row],[FIND NO]] &amp; "*"</f>
        <v>*43*</v>
      </c>
      <c r="C72" s="29"/>
      <c r="D72" s="30"/>
      <c r="E72" s="30"/>
      <c r="F72" s="30"/>
      <c r="G72" s="30"/>
      <c r="H72" s="31">
        <f>$B$4*Table1[[#This Row],[QTY]]</f>
        <v>0</v>
      </c>
      <c r="I72" s="31"/>
      <c r="J72" s="31">
        <f>Table1[[#This Row],[Need]]+Table1[[#This Row],[Leader Qty]]</f>
        <v>0</v>
      </c>
      <c r="K72" s="31"/>
      <c r="L72" s="31"/>
      <c r="M72" s="31" t="str">
        <f>IF(Table1[[#This Row],[Receive]]&gt;=Table1[[#This Row],[Need]],"READY", "NEED")</f>
        <v>READY</v>
      </c>
      <c r="N72" s="31"/>
      <c r="O72" s="31"/>
      <c r="P72" s="31"/>
    </row>
    <row r="73" spans="1:16" ht="44.4">
      <c r="A73" s="12">
        <v>44</v>
      </c>
      <c r="B73" s="15" t="str">
        <f>"*" &amp; Table1[[#This Row],[FIND NO]] &amp; "*"</f>
        <v>*44*</v>
      </c>
      <c r="C73" s="29"/>
      <c r="D73" s="30"/>
      <c r="E73" s="30"/>
      <c r="F73" s="30"/>
      <c r="G73" s="30"/>
      <c r="H73" s="31">
        <f>$B$4*Table1[[#This Row],[QTY]]</f>
        <v>0</v>
      </c>
      <c r="I73" s="31"/>
      <c r="J73" s="31">
        <f>Table1[[#This Row],[Need]]+Table1[[#This Row],[Leader Qty]]</f>
        <v>0</v>
      </c>
      <c r="K73" s="31"/>
      <c r="L73" s="31"/>
      <c r="M73" s="31" t="str">
        <f>IF(Table1[[#This Row],[Receive]]&gt;=Table1[[#This Row],[Need]],"READY", "NEED")</f>
        <v>READY</v>
      </c>
      <c r="N73" s="31"/>
      <c r="O73" s="31"/>
      <c r="P73" s="31"/>
    </row>
    <row r="74" spans="1:16" ht="44.4">
      <c r="A74" s="12">
        <v>45</v>
      </c>
      <c r="B74" s="15" t="str">
        <f>"*" &amp; Table1[[#This Row],[FIND NO]] &amp; "*"</f>
        <v>*45*</v>
      </c>
      <c r="C74" s="29"/>
      <c r="D74" s="30"/>
      <c r="E74" s="30"/>
      <c r="F74" s="30"/>
      <c r="G74" s="30"/>
      <c r="H74" s="31">
        <f>$B$4*Table1[[#This Row],[QTY]]</f>
        <v>0</v>
      </c>
      <c r="I74" s="31"/>
      <c r="J74" s="31">
        <f>Table1[[#This Row],[Need]]+Table1[[#This Row],[Leader Qty]]</f>
        <v>0</v>
      </c>
      <c r="K74" s="31"/>
      <c r="L74" s="31"/>
      <c r="M74" s="31" t="str">
        <f>IF(Table1[[#This Row],[Receive]]&gt;=Table1[[#This Row],[Need]],"READY", "NEED")</f>
        <v>READY</v>
      </c>
      <c r="N74" s="31"/>
      <c r="O74" s="31"/>
      <c r="P74" s="31"/>
    </row>
    <row r="75" spans="1:16" ht="44.4">
      <c r="A75" s="12">
        <v>46</v>
      </c>
      <c r="B75" s="15" t="str">
        <f>"*" &amp; Table1[[#This Row],[FIND NO]] &amp; "*"</f>
        <v>*46*</v>
      </c>
      <c r="C75" s="29"/>
      <c r="D75" s="30"/>
      <c r="E75" s="30"/>
      <c r="F75" s="30"/>
      <c r="G75" s="30"/>
      <c r="H75" s="31">
        <f>$B$4*Table1[[#This Row],[QTY]]</f>
        <v>0</v>
      </c>
      <c r="I75" s="31"/>
      <c r="J75" s="31">
        <f>Table1[[#This Row],[Need]]+Table1[[#This Row],[Leader Qty]]</f>
        <v>0</v>
      </c>
      <c r="K75" s="31"/>
      <c r="L75" s="31"/>
      <c r="M75" s="31" t="str">
        <f>IF(Table1[[#This Row],[Receive]]&gt;=Table1[[#This Row],[Need]],"READY", "NEED")</f>
        <v>READY</v>
      </c>
      <c r="N75" s="31"/>
      <c r="O75" s="31"/>
      <c r="P75" s="31"/>
    </row>
    <row r="76" spans="1:16" ht="44.4">
      <c r="A76" s="12">
        <v>47</v>
      </c>
      <c r="B76" s="15" t="str">
        <f>"*" &amp; Table1[[#This Row],[FIND NO]] &amp; "*"</f>
        <v>*47*</v>
      </c>
      <c r="C76" s="29"/>
      <c r="D76" s="30"/>
      <c r="E76" s="30"/>
      <c r="F76" s="30"/>
      <c r="G76" s="30"/>
      <c r="H76" s="31">
        <f>$B$4*Table1[[#This Row],[QTY]]</f>
        <v>0</v>
      </c>
      <c r="I76" s="31"/>
      <c r="J76" s="31">
        <f>Table1[[#This Row],[Need]]+Table1[[#This Row],[Leader Qty]]</f>
        <v>0</v>
      </c>
      <c r="K76" s="31"/>
      <c r="L76" s="31"/>
      <c r="M76" s="31" t="str">
        <f>IF(Table1[[#This Row],[Receive]]&gt;=Table1[[#This Row],[Need]],"READY", "NEED")</f>
        <v>READY</v>
      </c>
      <c r="N76" s="31"/>
      <c r="O76" s="31"/>
      <c r="P76" s="31"/>
    </row>
    <row r="77" spans="1:16" ht="44.4">
      <c r="A77" s="12">
        <v>48</v>
      </c>
      <c r="B77" s="15" t="str">
        <f>"*" &amp; Table1[[#This Row],[FIND NO]] &amp; "*"</f>
        <v>*48*</v>
      </c>
      <c r="C77" s="29"/>
      <c r="D77" s="30"/>
      <c r="E77" s="30"/>
      <c r="F77" s="30"/>
      <c r="G77" s="30"/>
      <c r="H77" s="31">
        <f>$B$4*Table1[[#This Row],[QTY]]</f>
        <v>0</v>
      </c>
      <c r="I77" s="31"/>
      <c r="J77" s="31">
        <f>Table1[[#This Row],[Need]]+Table1[[#This Row],[Leader Qty]]</f>
        <v>0</v>
      </c>
      <c r="K77" s="31"/>
      <c r="L77" s="31"/>
      <c r="M77" s="31" t="str">
        <f>IF(Table1[[#This Row],[Receive]]&gt;=Table1[[#This Row],[Need]],"READY", "NEED")</f>
        <v>READY</v>
      </c>
      <c r="N77" s="31"/>
      <c r="O77" s="31"/>
      <c r="P77" s="31"/>
    </row>
    <row r="78" spans="1:16" ht="44.4">
      <c r="A78" s="12">
        <v>49</v>
      </c>
      <c r="B78" s="15" t="str">
        <f>"*" &amp; Table1[[#This Row],[FIND NO]] &amp; "*"</f>
        <v>*49*</v>
      </c>
      <c r="C78" s="29"/>
      <c r="D78" s="30"/>
      <c r="E78" s="30"/>
      <c r="F78" s="30"/>
      <c r="G78" s="30"/>
      <c r="H78" s="31">
        <f>$B$4*Table1[[#This Row],[QTY]]</f>
        <v>0</v>
      </c>
      <c r="I78" s="31"/>
      <c r="J78" s="31">
        <f>Table1[[#This Row],[Need]]+Table1[[#This Row],[Leader Qty]]</f>
        <v>0</v>
      </c>
      <c r="K78" s="31"/>
      <c r="L78" s="31"/>
      <c r="M78" s="31" t="str">
        <f>IF(Table1[[#This Row],[Receive]]&gt;=Table1[[#This Row],[Need]],"READY", "NEED")</f>
        <v>READY</v>
      </c>
      <c r="N78" s="31"/>
      <c r="O78" s="31"/>
      <c r="P78" s="31"/>
    </row>
    <row r="79" spans="1:16" ht="44.4">
      <c r="A79" s="12">
        <v>50</v>
      </c>
      <c r="B79" s="15" t="str">
        <f>"*" &amp; Table1[[#This Row],[FIND NO]] &amp; "*"</f>
        <v>*50*</v>
      </c>
      <c r="C79" s="29"/>
      <c r="D79" s="30"/>
      <c r="E79" s="30"/>
      <c r="F79" s="30"/>
      <c r="G79" s="30"/>
      <c r="H79" s="31">
        <f>$B$4*Table1[[#This Row],[QTY]]</f>
        <v>0</v>
      </c>
      <c r="I79" s="31"/>
      <c r="J79" s="31">
        <f>Table1[[#This Row],[Need]]+Table1[[#This Row],[Leader Qty]]</f>
        <v>0</v>
      </c>
      <c r="K79" s="31"/>
      <c r="L79" s="31"/>
      <c r="M79" s="31" t="str">
        <f>IF(Table1[[#This Row],[Receive]]&gt;=Table1[[#This Row],[Need]],"READY", "NEED")</f>
        <v>READY</v>
      </c>
      <c r="N79" s="31"/>
      <c r="O79" s="31"/>
      <c r="P79" s="31"/>
    </row>
    <row r="80" spans="1:16" ht="44.4">
      <c r="A80" s="12">
        <v>51</v>
      </c>
      <c r="B80" s="15" t="str">
        <f>"*" &amp; Table1[[#This Row],[FIND NO]] &amp; "*"</f>
        <v>*51*</v>
      </c>
      <c r="C80" s="29"/>
      <c r="D80" s="30"/>
      <c r="E80" s="30"/>
      <c r="F80" s="30"/>
      <c r="G80" s="30"/>
      <c r="H80" s="31">
        <f>$B$4*Table1[[#This Row],[QTY]]</f>
        <v>0</v>
      </c>
      <c r="I80" s="31"/>
      <c r="J80" s="31">
        <f>Table1[[#This Row],[Need]]+Table1[[#This Row],[Leader Qty]]</f>
        <v>0</v>
      </c>
      <c r="K80" s="31"/>
      <c r="L80" s="31"/>
      <c r="M80" s="31" t="str">
        <f>IF(Table1[[#This Row],[Receive]]&gt;=Table1[[#This Row],[Need]],"READY", "NEED")</f>
        <v>READY</v>
      </c>
      <c r="N80" s="31"/>
      <c r="O80" s="31"/>
      <c r="P80" s="31"/>
    </row>
    <row r="81" spans="1:16" ht="44.4">
      <c r="A81" s="12">
        <v>52</v>
      </c>
      <c r="B81" s="15" t="str">
        <f>"*" &amp; Table1[[#This Row],[FIND NO]] &amp; "*"</f>
        <v>*52*</v>
      </c>
      <c r="C81" s="29"/>
      <c r="D81" s="30"/>
      <c r="E81" s="30"/>
      <c r="F81" s="30"/>
      <c r="G81" s="30"/>
      <c r="H81" s="31">
        <f>$B$4*Table1[[#This Row],[QTY]]</f>
        <v>0</v>
      </c>
      <c r="I81" s="31"/>
      <c r="J81" s="31">
        <f>Table1[[#This Row],[Need]]+Table1[[#This Row],[Leader Qty]]</f>
        <v>0</v>
      </c>
      <c r="K81" s="31"/>
      <c r="L81" s="31"/>
      <c r="M81" s="31" t="str">
        <f>IF(Table1[[#This Row],[Receive]]&gt;=Table1[[#This Row],[Need]],"READY", "NEED")</f>
        <v>READY</v>
      </c>
      <c r="N81" s="31"/>
      <c r="O81" s="31"/>
      <c r="P81" s="31"/>
    </row>
    <row r="82" spans="1:16" ht="44.4">
      <c r="A82" s="12">
        <v>53</v>
      </c>
      <c r="B82" s="15" t="str">
        <f>"*" &amp; Table1[[#This Row],[FIND NO]] &amp; "*"</f>
        <v>*53*</v>
      </c>
      <c r="C82" s="29"/>
      <c r="D82" s="30"/>
      <c r="E82" s="32"/>
      <c r="F82" s="30"/>
      <c r="G82" s="30"/>
      <c r="H82" s="31">
        <f>$B$4*Table1[[#This Row],[QTY]]</f>
        <v>0</v>
      </c>
      <c r="I82" s="31"/>
      <c r="J82" s="31">
        <f>Table1[[#This Row],[Need]]+Table1[[#This Row],[Leader Qty]]</f>
        <v>0</v>
      </c>
      <c r="K82" s="31"/>
      <c r="L82" s="31"/>
      <c r="M82" s="31" t="str">
        <f>IF(Table1[[#This Row],[Receive]]&gt;=Table1[[#This Row],[Need]],"READY", "NEED")</f>
        <v>READY</v>
      </c>
      <c r="N82" s="31"/>
      <c r="O82" s="31"/>
      <c r="P82" s="31"/>
    </row>
    <row r="83" spans="1:16" ht="44.4">
      <c r="A83" s="12">
        <v>54</v>
      </c>
      <c r="B83" s="15" t="str">
        <f>"*" &amp; Table1[[#This Row],[FIND NO]] &amp; "*"</f>
        <v>*54*</v>
      </c>
      <c r="C83" s="29"/>
      <c r="D83" s="30"/>
      <c r="E83" s="30"/>
      <c r="F83" s="30"/>
      <c r="G83" s="30"/>
      <c r="H83" s="31">
        <f>$B$4*Table1[[#This Row],[QTY]]</f>
        <v>0</v>
      </c>
      <c r="I83" s="31"/>
      <c r="J83" s="31">
        <f>Table1[[#This Row],[Need]]+Table1[[#This Row],[Leader Qty]]</f>
        <v>0</v>
      </c>
      <c r="K83" s="31"/>
      <c r="L83" s="31"/>
      <c r="M83" s="31" t="str">
        <f>IF(Table1[[#This Row],[Receive]]&gt;=Table1[[#This Row],[Need]],"READY", "NEED")</f>
        <v>READY</v>
      </c>
      <c r="N83" s="31"/>
      <c r="O83" s="31"/>
      <c r="P83" s="31"/>
    </row>
    <row r="84" spans="1:16" ht="44.4">
      <c r="A84" s="12">
        <v>55</v>
      </c>
      <c r="B84" s="15" t="str">
        <f>"*" &amp; Table1[[#This Row],[FIND NO]] &amp; "*"</f>
        <v>*55*</v>
      </c>
      <c r="C84" s="29"/>
      <c r="D84" s="30"/>
      <c r="E84" s="30"/>
      <c r="F84" s="30"/>
      <c r="G84" s="30"/>
      <c r="H84" s="31">
        <f>$B$4*Table1[[#This Row],[QTY]]</f>
        <v>0</v>
      </c>
      <c r="I84" s="31"/>
      <c r="J84" s="31">
        <f>Table1[[#This Row],[Need]]+Table1[[#This Row],[Leader Qty]]</f>
        <v>0</v>
      </c>
      <c r="K84" s="31"/>
      <c r="L84" s="31"/>
      <c r="M84" s="31" t="str">
        <f>IF(Table1[[#This Row],[Receive]]&gt;=Table1[[#This Row],[Need]],"READY", "NEED")</f>
        <v>READY</v>
      </c>
      <c r="N84" s="31"/>
      <c r="O84" s="31"/>
      <c r="P84" s="31"/>
    </row>
    <row r="85" spans="1:16" ht="44.4">
      <c r="A85" s="12">
        <v>56</v>
      </c>
      <c r="B85" s="15" t="str">
        <f>"*" &amp; Table1[[#This Row],[FIND NO]] &amp; "*"</f>
        <v>*56*</v>
      </c>
      <c r="C85" s="29"/>
      <c r="D85" s="30"/>
      <c r="E85" s="30"/>
      <c r="F85" s="30"/>
      <c r="G85" s="30"/>
      <c r="H85" s="31">
        <f>$B$4*Table1[[#This Row],[QTY]]</f>
        <v>0</v>
      </c>
      <c r="I85" s="31"/>
      <c r="J85" s="31">
        <f>Table1[[#This Row],[Need]]+Table1[[#This Row],[Leader Qty]]</f>
        <v>0</v>
      </c>
      <c r="K85" s="31"/>
      <c r="L85" s="31"/>
      <c r="M85" s="31" t="str">
        <f>IF(Table1[[#This Row],[Receive]]&gt;=Table1[[#This Row],[Need]],"READY", "NEED")</f>
        <v>READY</v>
      </c>
      <c r="N85" s="31"/>
      <c r="O85" s="31"/>
      <c r="P85" s="31"/>
    </row>
    <row r="86" spans="1:16" ht="44.4">
      <c r="A86" s="12">
        <v>57</v>
      </c>
      <c r="B86" s="15" t="str">
        <f>"*" &amp; Table1[[#This Row],[FIND NO]] &amp; "*"</f>
        <v>*57*</v>
      </c>
      <c r="C86" s="29"/>
      <c r="D86" s="30"/>
      <c r="E86" s="32"/>
      <c r="F86" s="30"/>
      <c r="G86" s="30"/>
      <c r="H86" s="31">
        <f>$B$4*Table1[[#This Row],[QTY]]</f>
        <v>0</v>
      </c>
      <c r="I86" s="31"/>
      <c r="J86" s="31">
        <f>Table1[[#This Row],[Need]]+Table1[[#This Row],[Leader Qty]]</f>
        <v>0</v>
      </c>
      <c r="K86" s="31"/>
      <c r="L86" s="31"/>
      <c r="M86" s="31" t="str">
        <f>IF(Table1[[#This Row],[Receive]]&gt;=Table1[[#This Row],[Need]],"READY", "NEED")</f>
        <v>READY</v>
      </c>
      <c r="N86" s="31"/>
      <c r="O86" s="31"/>
      <c r="P86" s="31"/>
    </row>
    <row r="87" spans="1:16" ht="44.4">
      <c r="A87" s="12">
        <v>58</v>
      </c>
      <c r="B87" s="15" t="str">
        <f>"*" &amp; Table1[[#This Row],[FIND NO]] &amp; "*"</f>
        <v>*58*</v>
      </c>
      <c r="C87" s="29"/>
      <c r="D87" s="30"/>
      <c r="E87" s="30"/>
      <c r="F87" s="30"/>
      <c r="G87" s="30"/>
      <c r="H87" s="31">
        <f>$B$4*Table1[[#This Row],[QTY]]</f>
        <v>0</v>
      </c>
      <c r="I87" s="31"/>
      <c r="J87" s="31">
        <f>Table1[[#This Row],[Need]]+Table1[[#This Row],[Leader Qty]]</f>
        <v>0</v>
      </c>
      <c r="K87" s="31"/>
      <c r="L87" s="31"/>
      <c r="M87" s="31" t="str">
        <f>IF(Table1[[#This Row],[Receive]]&gt;=Table1[[#This Row],[Need]],"READY", "NEED")</f>
        <v>READY</v>
      </c>
      <c r="N87" s="31"/>
      <c r="O87" s="31"/>
      <c r="P87" s="31"/>
    </row>
    <row r="88" spans="1:16" ht="44.4">
      <c r="A88" s="12">
        <v>59</v>
      </c>
      <c r="B88" s="15" t="str">
        <f>"*" &amp; Table1[[#This Row],[FIND NO]] &amp; "*"</f>
        <v>*59*</v>
      </c>
      <c r="C88" s="29"/>
      <c r="D88" s="30"/>
      <c r="E88" s="30"/>
      <c r="F88" s="30"/>
      <c r="G88" s="30"/>
      <c r="H88" s="31">
        <f>$B$4*Table1[[#This Row],[QTY]]</f>
        <v>0</v>
      </c>
      <c r="I88" s="31"/>
      <c r="J88" s="31">
        <f>Table1[[#This Row],[Need]]+Table1[[#This Row],[Leader Qty]]</f>
        <v>0</v>
      </c>
      <c r="K88" s="31"/>
      <c r="L88" s="31"/>
      <c r="M88" s="31" t="str">
        <f>IF(Table1[[#This Row],[Receive]]&gt;=Table1[[#This Row],[Need]],"READY", "NEED")</f>
        <v>READY</v>
      </c>
      <c r="N88" s="31"/>
      <c r="O88" s="31"/>
      <c r="P88" s="31"/>
    </row>
    <row r="89" spans="1:16" ht="54.75" customHeight="1">
      <c r="A89" s="12">
        <v>60</v>
      </c>
      <c r="B89" s="15" t="str">
        <f>"*" &amp; Table1[[#This Row],[FIND NO]] &amp; "*"</f>
        <v>*60*</v>
      </c>
      <c r="C89" s="29"/>
      <c r="D89" s="30"/>
      <c r="E89" s="32"/>
      <c r="F89" s="30"/>
      <c r="G89" s="30"/>
      <c r="H89" s="31">
        <f>$B$4*Table1[[#This Row],[QTY]]</f>
        <v>0</v>
      </c>
      <c r="I89" s="31"/>
      <c r="J89" s="31">
        <f>Table1[[#This Row],[Need]]+Table1[[#This Row],[Leader Qty]]</f>
        <v>0</v>
      </c>
      <c r="K89" s="31"/>
      <c r="L89" s="31"/>
      <c r="M89" s="31" t="str">
        <f>IF(Table1[[#This Row],[Receive]]&gt;=Table1[[#This Row],[Need]],"READY", "NEED")</f>
        <v>READY</v>
      </c>
      <c r="N89" s="31"/>
      <c r="O89" s="31"/>
      <c r="P89" s="31"/>
    </row>
    <row r="90" spans="1:16" ht="44.4">
      <c r="A90" s="12">
        <v>61</v>
      </c>
      <c r="B90" s="15" t="str">
        <f>"*" &amp; Table1[[#This Row],[FIND NO]] &amp; "*"</f>
        <v>*61*</v>
      </c>
      <c r="C90" s="29"/>
      <c r="D90" s="30"/>
      <c r="E90" s="30"/>
      <c r="F90" s="30"/>
      <c r="G90" s="30"/>
      <c r="H90" s="31">
        <f>$B$4*Table1[[#This Row],[QTY]]</f>
        <v>0</v>
      </c>
      <c r="I90" s="31"/>
      <c r="J90" s="31">
        <f>Table1[[#This Row],[Need]]+Table1[[#This Row],[Leader Qty]]</f>
        <v>0</v>
      </c>
      <c r="K90" s="31"/>
      <c r="L90" s="31"/>
      <c r="M90" s="31" t="str">
        <f>IF(Table1[[#This Row],[Receive]]&gt;=Table1[[#This Row],[Need]],"READY", "NEED")</f>
        <v>READY</v>
      </c>
      <c r="N90" s="31"/>
      <c r="O90" s="31"/>
      <c r="P90" s="31"/>
    </row>
    <row r="91" spans="1:16" ht="44.4">
      <c r="A91" s="12">
        <v>62</v>
      </c>
      <c r="B91" s="15" t="str">
        <f>"*" &amp; Table1[[#This Row],[FIND NO]] &amp; "*"</f>
        <v>*62*</v>
      </c>
      <c r="C91" s="29"/>
      <c r="D91" s="30"/>
      <c r="E91" s="32"/>
      <c r="F91" s="30"/>
      <c r="G91" s="30"/>
      <c r="H91" s="31">
        <f>$B$4*Table1[[#This Row],[QTY]]</f>
        <v>0</v>
      </c>
      <c r="I91" s="31"/>
      <c r="J91" s="31">
        <f>Table1[[#This Row],[Need]]+Table1[[#This Row],[Leader Qty]]</f>
        <v>0</v>
      </c>
      <c r="K91" s="31"/>
      <c r="L91" s="31"/>
      <c r="M91" s="31" t="str">
        <f>IF(Table1[[#This Row],[Receive]]&gt;=Table1[[#This Row],[Need]],"READY", "NEED")</f>
        <v>READY</v>
      </c>
      <c r="N91" s="31"/>
      <c r="O91" s="31"/>
      <c r="P91" s="31"/>
    </row>
    <row r="92" spans="1:16" ht="44.4">
      <c r="A92" s="12">
        <v>63</v>
      </c>
      <c r="B92" s="15" t="str">
        <f>"*" &amp; Table1[[#This Row],[FIND NO]] &amp; "*"</f>
        <v>*63*</v>
      </c>
      <c r="C92" s="29"/>
      <c r="D92" s="30"/>
      <c r="E92" s="30"/>
      <c r="F92" s="30"/>
      <c r="G92" s="30"/>
      <c r="H92" s="31">
        <f>$B$4*Table1[[#This Row],[QTY]]</f>
        <v>0</v>
      </c>
      <c r="I92" s="31"/>
      <c r="J92" s="31">
        <f>Table1[[#This Row],[Need]]+Table1[[#This Row],[Leader Qty]]</f>
        <v>0</v>
      </c>
      <c r="K92" s="31"/>
      <c r="L92" s="31"/>
      <c r="M92" s="31" t="str">
        <f>IF(Table1[[#This Row],[Receive]]&gt;=Table1[[#This Row],[Need]],"READY", "NEED")</f>
        <v>READY</v>
      </c>
      <c r="N92" s="31"/>
      <c r="O92" s="31"/>
      <c r="P92" s="31"/>
    </row>
    <row r="93" spans="1:16" ht="44.4">
      <c r="A93" s="12">
        <v>64</v>
      </c>
      <c r="B93" s="15" t="str">
        <f>"*" &amp; Table1[[#This Row],[FIND NO]] &amp; "*"</f>
        <v>*64*</v>
      </c>
      <c r="C93" s="29"/>
      <c r="D93" s="30"/>
      <c r="E93" s="30"/>
      <c r="F93" s="30"/>
      <c r="G93" s="30"/>
      <c r="H93" s="31">
        <f>$B$4*Table1[[#This Row],[QTY]]</f>
        <v>0</v>
      </c>
      <c r="I93" s="31"/>
      <c r="J93" s="31">
        <f>Table1[[#This Row],[Need]]+Table1[[#This Row],[Leader Qty]]</f>
        <v>0</v>
      </c>
      <c r="K93" s="31"/>
      <c r="L93" s="31"/>
      <c r="M93" s="31" t="str">
        <f>IF(Table1[[#This Row],[Receive]]&gt;=Table1[[#This Row],[Need]],"READY", "NEED")</f>
        <v>READY</v>
      </c>
      <c r="N93" s="31"/>
      <c r="O93" s="31"/>
      <c r="P93" s="31"/>
    </row>
    <row r="94" spans="1:16" ht="44.4">
      <c r="A94" s="12">
        <v>65</v>
      </c>
      <c r="B94" s="15" t="str">
        <f>"*" &amp; Table1[[#This Row],[FIND NO]] &amp; "*"</f>
        <v>*65*</v>
      </c>
      <c r="C94" s="29"/>
      <c r="D94" s="30"/>
      <c r="E94" s="30"/>
      <c r="F94" s="30"/>
      <c r="G94" s="30"/>
      <c r="H94" s="31">
        <f>$B$4*Table1[[#This Row],[QTY]]</f>
        <v>0</v>
      </c>
      <c r="I94" s="31"/>
      <c r="J94" s="31">
        <f>Table1[[#This Row],[Need]]+Table1[[#This Row],[Leader Qty]]</f>
        <v>0</v>
      </c>
      <c r="K94" s="31"/>
      <c r="L94" s="31"/>
      <c r="M94" s="31" t="str">
        <f>IF(Table1[[#This Row],[Receive]]&gt;=Table1[[#This Row],[Need]],"READY", "NEED")</f>
        <v>READY</v>
      </c>
      <c r="N94" s="31"/>
      <c r="O94" s="31"/>
      <c r="P94" s="31"/>
    </row>
    <row r="95" spans="1:16" ht="44.4">
      <c r="A95" s="12">
        <v>66</v>
      </c>
      <c r="B95" s="15" t="str">
        <f>"*" &amp; Table1[[#This Row],[FIND NO]] &amp; "*"</f>
        <v>*66*</v>
      </c>
      <c r="C95" s="29"/>
      <c r="D95" s="30"/>
      <c r="E95" s="30"/>
      <c r="F95" s="30"/>
      <c r="G95" s="30"/>
      <c r="H95" s="31">
        <f>$B$4*Table1[[#This Row],[QTY]]</f>
        <v>0</v>
      </c>
      <c r="I95" s="31"/>
      <c r="J95" s="31">
        <f>Table1[[#This Row],[Need]]+Table1[[#This Row],[Leader Qty]]</f>
        <v>0</v>
      </c>
      <c r="K95" s="31"/>
      <c r="L95" s="31"/>
      <c r="M95" s="31" t="str">
        <f>IF(Table1[[#This Row],[Receive]]&gt;=Table1[[#This Row],[Need]],"READY", "NEED")</f>
        <v>READY</v>
      </c>
      <c r="N95" s="31"/>
      <c r="O95" s="31"/>
      <c r="P95" s="31"/>
    </row>
    <row r="96" spans="1:16" ht="44.4">
      <c r="A96" s="12">
        <v>67</v>
      </c>
      <c r="B96" s="15" t="str">
        <f>"*" &amp; Table1[[#This Row],[FIND NO]] &amp; "*"</f>
        <v>*67*</v>
      </c>
      <c r="C96" s="29"/>
      <c r="D96" s="30"/>
      <c r="E96" s="30"/>
      <c r="F96" s="30"/>
      <c r="G96" s="30"/>
      <c r="H96" s="31">
        <f>$B$4*Table1[[#This Row],[QTY]]</f>
        <v>0</v>
      </c>
      <c r="I96" s="31"/>
      <c r="J96" s="31">
        <f>Table1[[#This Row],[Need]]+Table1[[#This Row],[Leader Qty]]</f>
        <v>0</v>
      </c>
      <c r="K96" s="31"/>
      <c r="L96" s="31"/>
      <c r="M96" s="31" t="str">
        <f>IF(Table1[[#This Row],[Receive]]&gt;=Table1[[#This Row],[Need]],"READY", "NEED")</f>
        <v>READY</v>
      </c>
      <c r="N96" s="31"/>
      <c r="O96" s="31"/>
      <c r="P96" s="31"/>
    </row>
    <row r="97" spans="1:16" ht="44.4">
      <c r="A97" s="12">
        <v>68</v>
      </c>
      <c r="B97" s="15" t="str">
        <f>"*" &amp; Table1[[#This Row],[FIND NO]] &amp; "*"</f>
        <v>*68*</v>
      </c>
      <c r="C97" s="29"/>
      <c r="D97" s="30"/>
      <c r="E97" s="30"/>
      <c r="F97" s="30"/>
      <c r="G97" s="30"/>
      <c r="H97" s="31">
        <f>$B$4*Table1[[#This Row],[QTY]]</f>
        <v>0</v>
      </c>
      <c r="I97" s="31"/>
      <c r="J97" s="31">
        <f>Table1[[#This Row],[Need]]+Table1[[#This Row],[Leader Qty]]</f>
        <v>0</v>
      </c>
      <c r="K97" s="31"/>
      <c r="L97" s="31"/>
      <c r="M97" s="31" t="str">
        <f>IF(Table1[[#This Row],[Receive]]&gt;=Table1[[#This Row],[Need]],"READY", "NEED")</f>
        <v>READY</v>
      </c>
      <c r="N97" s="31"/>
      <c r="O97" s="31"/>
      <c r="P97" s="31"/>
    </row>
    <row r="98" spans="1:16" ht="44.4">
      <c r="A98" s="12">
        <v>69</v>
      </c>
      <c r="B98" s="15" t="str">
        <f>"*" &amp; Table1[[#This Row],[FIND NO]] &amp; "*"</f>
        <v>*69*</v>
      </c>
      <c r="C98" s="29"/>
      <c r="D98" s="30"/>
      <c r="E98" s="30"/>
      <c r="F98" s="30"/>
      <c r="G98" s="30"/>
      <c r="H98" s="31">
        <f>$B$4*Table1[[#This Row],[QTY]]</f>
        <v>0</v>
      </c>
      <c r="I98" s="31"/>
      <c r="J98" s="31">
        <f>Table1[[#This Row],[Need]]+Table1[[#This Row],[Leader Qty]]</f>
        <v>0</v>
      </c>
      <c r="K98" s="31"/>
      <c r="L98" s="31"/>
      <c r="M98" s="31" t="str">
        <f>IF(Table1[[#This Row],[Receive]]&gt;=Table1[[#This Row],[Need]],"READY", "NEED")</f>
        <v>READY</v>
      </c>
      <c r="N98" s="31"/>
      <c r="O98" s="31"/>
      <c r="P98" s="31"/>
    </row>
    <row r="99" spans="1:16" ht="44.4">
      <c r="A99" s="12">
        <v>70</v>
      </c>
      <c r="B99" s="15" t="str">
        <f>"*" &amp; Table1[[#This Row],[FIND NO]] &amp; "*"</f>
        <v>*70*</v>
      </c>
      <c r="C99" s="29"/>
      <c r="D99" s="30"/>
      <c r="E99" s="30"/>
      <c r="F99" s="30"/>
      <c r="G99" s="30"/>
      <c r="H99" s="31">
        <f>$B$4*Table1[[#This Row],[QTY]]</f>
        <v>0</v>
      </c>
      <c r="I99" s="31"/>
      <c r="J99" s="31">
        <f>Table1[[#This Row],[Need]]+Table1[[#This Row],[Leader Qty]]</f>
        <v>0</v>
      </c>
      <c r="K99" s="31"/>
      <c r="L99" s="31"/>
      <c r="M99" s="31" t="str">
        <f>IF(Table1[[#This Row],[Receive]]&gt;=Table1[[#This Row],[Need]],"READY", "NEED")</f>
        <v>READY</v>
      </c>
      <c r="N99" s="31"/>
      <c r="O99" s="31"/>
      <c r="P99" s="31"/>
    </row>
    <row r="100" spans="1:16" ht="44.4">
      <c r="A100" s="12">
        <v>71</v>
      </c>
      <c r="B100" s="15" t="str">
        <f>"*" &amp; Table1[[#This Row],[FIND NO]] &amp; "*"</f>
        <v>*71*</v>
      </c>
      <c r="C100" s="29"/>
      <c r="D100" s="30"/>
      <c r="E100" s="30"/>
      <c r="F100" s="30"/>
      <c r="G100" s="30"/>
      <c r="H100" s="31">
        <f>$B$4*Table1[[#This Row],[QTY]]</f>
        <v>0</v>
      </c>
      <c r="I100" s="31"/>
      <c r="J100" s="31">
        <f>Table1[[#This Row],[Need]]+Table1[[#This Row],[Leader Qty]]</f>
        <v>0</v>
      </c>
      <c r="K100" s="31"/>
      <c r="L100" s="31"/>
      <c r="M100" s="31" t="str">
        <f>IF(Table1[[#This Row],[Receive]]&gt;=Table1[[#This Row],[Need]],"READY", "NEED")</f>
        <v>READY</v>
      </c>
      <c r="N100" s="31"/>
      <c r="O100" s="31"/>
      <c r="P100" s="31"/>
    </row>
    <row r="101" spans="1:16" ht="44.4">
      <c r="A101" s="12">
        <v>72</v>
      </c>
      <c r="B101" s="15" t="str">
        <f>"*" &amp; Table1[[#This Row],[FIND NO]] &amp; "*"</f>
        <v>*72*</v>
      </c>
      <c r="C101" s="29"/>
      <c r="D101" s="30"/>
      <c r="E101" s="30"/>
      <c r="F101" s="30"/>
      <c r="G101" s="30"/>
      <c r="H101" s="31">
        <f>$B$4*Table1[[#This Row],[QTY]]</f>
        <v>0</v>
      </c>
      <c r="I101" s="31"/>
      <c r="J101" s="31">
        <f>Table1[[#This Row],[Need]]+Table1[[#This Row],[Leader Qty]]</f>
        <v>0</v>
      </c>
      <c r="K101" s="31"/>
      <c r="L101" s="31"/>
      <c r="M101" s="31" t="str">
        <f>IF(Table1[[#This Row],[Receive]]&gt;=Table1[[#This Row],[Need]],"READY", "NEED")</f>
        <v>READY</v>
      </c>
      <c r="N101" s="31"/>
      <c r="O101" s="31"/>
      <c r="P101" s="31"/>
    </row>
    <row r="102" spans="1:16" ht="44.4">
      <c r="A102" s="12">
        <v>73</v>
      </c>
      <c r="B102" s="15" t="str">
        <f>"*" &amp; Table1[[#This Row],[FIND NO]] &amp; "*"</f>
        <v>*73*</v>
      </c>
      <c r="C102" s="29"/>
      <c r="D102" s="30"/>
      <c r="E102" s="30"/>
      <c r="F102" s="30"/>
      <c r="G102" s="30"/>
      <c r="H102" s="31">
        <f>$B$4*Table1[[#This Row],[QTY]]</f>
        <v>0</v>
      </c>
      <c r="I102" s="31"/>
      <c r="J102" s="31">
        <f>Table1[[#This Row],[Need]]+Table1[[#This Row],[Leader Qty]]</f>
        <v>0</v>
      </c>
      <c r="K102" s="31"/>
      <c r="L102" s="31"/>
      <c r="M102" s="31" t="str">
        <f>IF(Table1[[#This Row],[Receive]]&gt;=Table1[[#This Row],[Need]],"READY", "NEED")</f>
        <v>READY</v>
      </c>
      <c r="N102" s="31"/>
      <c r="O102" s="31"/>
      <c r="P102" s="31"/>
    </row>
    <row r="103" spans="1:16" ht="44.4">
      <c r="A103" s="12">
        <v>74</v>
      </c>
      <c r="B103" s="15" t="str">
        <f>"*" &amp; Table1[[#This Row],[FIND NO]] &amp; "*"</f>
        <v>*74*</v>
      </c>
      <c r="C103" s="29"/>
      <c r="D103" s="30"/>
      <c r="E103" s="30"/>
      <c r="F103" s="30"/>
      <c r="G103" s="30"/>
      <c r="H103" s="31">
        <f>$B$4*Table1[[#This Row],[QTY]]</f>
        <v>0</v>
      </c>
      <c r="I103" s="31"/>
      <c r="J103" s="31">
        <f>Table1[[#This Row],[Need]]+Table1[[#This Row],[Leader Qty]]</f>
        <v>0</v>
      </c>
      <c r="K103" s="31"/>
      <c r="L103" s="31"/>
      <c r="M103" s="31" t="str">
        <f>IF(Table1[[#This Row],[Receive]]&gt;=Table1[[#This Row],[Need]],"READY", "NEED")</f>
        <v>READY</v>
      </c>
      <c r="N103" s="31"/>
      <c r="O103" s="31"/>
      <c r="P103" s="31"/>
    </row>
    <row r="104" spans="1:16" ht="44.4">
      <c r="A104" s="12">
        <v>75</v>
      </c>
      <c r="B104" s="15" t="str">
        <f>"*" &amp; Table1[[#This Row],[FIND NO]] &amp; "*"</f>
        <v>*75*</v>
      </c>
      <c r="C104" s="29"/>
      <c r="D104" s="30"/>
      <c r="E104" s="30"/>
      <c r="F104" s="30"/>
      <c r="G104" s="30"/>
      <c r="H104" s="31">
        <f>$B$4*Table1[[#This Row],[QTY]]</f>
        <v>0</v>
      </c>
      <c r="I104" s="31"/>
      <c r="J104" s="31">
        <f>Table1[[#This Row],[Need]]+Table1[[#This Row],[Leader Qty]]</f>
        <v>0</v>
      </c>
      <c r="K104" s="31"/>
      <c r="L104" s="31"/>
      <c r="M104" s="31" t="str">
        <f>IF(Table1[[#This Row],[Receive]]&gt;=Table1[[#This Row],[Need]],"READY", "NEED")</f>
        <v>READY</v>
      </c>
      <c r="N104" s="31"/>
      <c r="O104" s="31"/>
      <c r="P104" s="31"/>
    </row>
    <row r="105" spans="1:16" ht="44.4">
      <c r="A105" s="12">
        <v>76</v>
      </c>
      <c r="B105" s="15" t="str">
        <f>"*" &amp; Table1[[#This Row],[FIND NO]] &amp; "*"</f>
        <v>*76*</v>
      </c>
      <c r="C105" s="29"/>
      <c r="D105" s="30"/>
      <c r="E105" s="30"/>
      <c r="F105" s="30"/>
      <c r="G105" s="30"/>
      <c r="H105" s="31">
        <f>$B$4*Table1[[#This Row],[QTY]]</f>
        <v>0</v>
      </c>
      <c r="I105" s="31"/>
      <c r="J105" s="31">
        <f>Table1[[#This Row],[Need]]+Table1[[#This Row],[Leader Qty]]</f>
        <v>0</v>
      </c>
      <c r="K105" s="31"/>
      <c r="L105" s="31"/>
      <c r="M105" s="31" t="str">
        <f>IF(Table1[[#This Row],[Receive]]&gt;=Table1[[#This Row],[Need]],"READY", "NEED")</f>
        <v>READY</v>
      </c>
      <c r="N105" s="31"/>
      <c r="O105" s="31"/>
      <c r="P105" s="31"/>
    </row>
    <row r="106" spans="1:16" ht="44.4">
      <c r="A106" s="12">
        <v>77</v>
      </c>
      <c r="B106" s="15" t="str">
        <f>"*" &amp; Table1[[#This Row],[FIND NO]] &amp; "*"</f>
        <v>*77*</v>
      </c>
      <c r="C106" s="29"/>
      <c r="D106" s="30"/>
      <c r="E106" s="30"/>
      <c r="F106" s="30"/>
      <c r="G106" s="30"/>
      <c r="H106" s="31">
        <f>$B$4*Table1[[#This Row],[QTY]]</f>
        <v>0</v>
      </c>
      <c r="I106" s="31"/>
      <c r="J106" s="31">
        <f>Table1[[#This Row],[Need]]+Table1[[#This Row],[Leader Qty]]</f>
        <v>0</v>
      </c>
      <c r="K106" s="31"/>
      <c r="L106" s="31"/>
      <c r="M106" s="31" t="str">
        <f>IF(Table1[[#This Row],[Receive]]&gt;=Table1[[#This Row],[Need]],"READY", "NEED")</f>
        <v>READY</v>
      </c>
      <c r="N106" s="31"/>
      <c r="O106" s="31"/>
      <c r="P106" s="31"/>
    </row>
    <row r="107" spans="1:16" ht="44.4">
      <c r="A107" s="12">
        <v>78</v>
      </c>
      <c r="B107" s="15" t="str">
        <f>"*" &amp; Table1[[#This Row],[FIND NO]] &amp; "*"</f>
        <v>*78*</v>
      </c>
      <c r="C107" s="29"/>
      <c r="D107" s="30"/>
      <c r="E107" s="30"/>
      <c r="F107" s="30"/>
      <c r="G107" s="30"/>
      <c r="H107" s="31">
        <f>$B$4*Table1[[#This Row],[QTY]]</f>
        <v>0</v>
      </c>
      <c r="I107" s="31"/>
      <c r="J107" s="31">
        <f>Table1[[#This Row],[Need]]+Table1[[#This Row],[Leader Qty]]</f>
        <v>0</v>
      </c>
      <c r="K107" s="31"/>
      <c r="L107" s="31"/>
      <c r="M107" s="31" t="str">
        <f>IF(Table1[[#This Row],[Receive]]&gt;=Table1[[#This Row],[Need]],"READY", "NEED")</f>
        <v>READY</v>
      </c>
      <c r="N107" s="31"/>
      <c r="O107" s="31"/>
      <c r="P107" s="31"/>
    </row>
    <row r="108" spans="1:16" ht="44.4">
      <c r="A108" s="12">
        <v>79</v>
      </c>
      <c r="B108" s="15" t="str">
        <f>"*" &amp; Table1[[#This Row],[FIND NO]] &amp; "*"</f>
        <v>*79*</v>
      </c>
      <c r="C108" s="29"/>
      <c r="D108" s="30"/>
      <c r="E108" s="30"/>
      <c r="F108" s="30"/>
      <c r="G108" s="30"/>
      <c r="H108" s="31">
        <f>$B$4*Table1[[#This Row],[QTY]]</f>
        <v>0</v>
      </c>
      <c r="I108" s="31"/>
      <c r="J108" s="31">
        <f>Table1[[#This Row],[Need]]+Table1[[#This Row],[Leader Qty]]</f>
        <v>0</v>
      </c>
      <c r="K108" s="31"/>
      <c r="L108" s="31"/>
      <c r="M108" s="31" t="str">
        <f>IF(Table1[[#This Row],[Receive]]&gt;=Table1[[#This Row],[Need]],"READY", "NEED")</f>
        <v>READY</v>
      </c>
      <c r="N108" s="31"/>
      <c r="O108" s="31"/>
      <c r="P108" s="31"/>
    </row>
    <row r="109" spans="1:16" ht="44.4">
      <c r="A109" s="12">
        <v>80</v>
      </c>
      <c r="B109" s="15" t="str">
        <f>"*" &amp; Table1[[#This Row],[FIND NO]] &amp; "*"</f>
        <v>*80*</v>
      </c>
      <c r="C109" s="29"/>
      <c r="D109" s="30"/>
      <c r="E109" s="30"/>
      <c r="F109" s="30"/>
      <c r="G109" s="30"/>
      <c r="H109" s="31">
        <f>$B$4*Table1[[#This Row],[QTY]]</f>
        <v>0</v>
      </c>
      <c r="I109" s="31"/>
      <c r="J109" s="31">
        <f>Table1[[#This Row],[Need]]+Table1[[#This Row],[Leader Qty]]</f>
        <v>0</v>
      </c>
      <c r="K109" s="31"/>
      <c r="L109" s="31"/>
      <c r="M109" s="31" t="str">
        <f>IF(Table1[[#This Row],[Receive]]&gt;=Table1[[#This Row],[Need]],"READY", "NEED")</f>
        <v>READY</v>
      </c>
      <c r="N109" s="31"/>
      <c r="O109" s="31"/>
      <c r="P109" s="31"/>
    </row>
    <row r="110" spans="1:16" ht="44.4">
      <c r="A110" s="12">
        <v>81</v>
      </c>
      <c r="B110" s="15" t="str">
        <f>"*" &amp; Table1[[#This Row],[FIND NO]] &amp; "*"</f>
        <v>*81*</v>
      </c>
      <c r="C110" s="29"/>
      <c r="D110" s="30"/>
      <c r="E110" s="30"/>
      <c r="F110" s="30"/>
      <c r="G110" s="30"/>
      <c r="H110" s="31">
        <f>$B$4*Table1[[#This Row],[QTY]]</f>
        <v>0</v>
      </c>
      <c r="I110" s="31"/>
      <c r="J110" s="31">
        <f>Table1[[#This Row],[Need]]+Table1[[#This Row],[Leader Qty]]</f>
        <v>0</v>
      </c>
      <c r="K110" s="31"/>
      <c r="L110" s="31"/>
      <c r="M110" s="31" t="str">
        <f>IF(Table1[[#This Row],[Receive]]&gt;=Table1[[#This Row],[Need]],"READY", "NEED")</f>
        <v>READY</v>
      </c>
      <c r="N110" s="31"/>
      <c r="O110" s="31"/>
      <c r="P110" s="31"/>
    </row>
    <row r="111" spans="1:16" ht="44.4">
      <c r="A111" s="12">
        <v>82</v>
      </c>
      <c r="B111" s="15" t="str">
        <f>"*" &amp; Table1[[#This Row],[FIND NO]] &amp; "*"</f>
        <v>*82*</v>
      </c>
      <c r="C111" s="29"/>
      <c r="D111" s="30"/>
      <c r="E111" s="30"/>
      <c r="F111" s="30"/>
      <c r="G111" s="30"/>
      <c r="H111" s="31">
        <f>$B$4*Table1[[#This Row],[QTY]]</f>
        <v>0</v>
      </c>
      <c r="I111" s="31"/>
      <c r="J111" s="31">
        <f>Table1[[#This Row],[Need]]+Table1[[#This Row],[Leader Qty]]</f>
        <v>0</v>
      </c>
      <c r="K111" s="31"/>
      <c r="L111" s="31"/>
      <c r="M111" s="31" t="str">
        <f>IF(Table1[[#This Row],[Receive]]&gt;=Table1[[#This Row],[Need]],"READY", "NEED")</f>
        <v>READY</v>
      </c>
      <c r="N111" s="31"/>
      <c r="O111" s="31"/>
      <c r="P111" s="31"/>
    </row>
    <row r="112" spans="1:16" ht="44.4">
      <c r="A112" s="12">
        <v>83</v>
      </c>
      <c r="B112" s="15" t="str">
        <f>"*" &amp; Table1[[#This Row],[FIND NO]] &amp; "*"</f>
        <v>*83*</v>
      </c>
      <c r="C112" s="29"/>
      <c r="D112" s="30"/>
      <c r="E112" s="30"/>
      <c r="F112" s="30"/>
      <c r="G112" s="30"/>
      <c r="H112" s="31">
        <f>$B$4*Table1[[#This Row],[QTY]]</f>
        <v>0</v>
      </c>
      <c r="I112" s="31"/>
      <c r="J112" s="31">
        <f>Table1[[#This Row],[Need]]+Table1[[#This Row],[Leader Qty]]</f>
        <v>0</v>
      </c>
      <c r="K112" s="31"/>
      <c r="L112" s="31"/>
      <c r="M112" s="31" t="str">
        <f>IF(Table1[[#This Row],[Receive]]&gt;=Table1[[#This Row],[Need]],"READY", "NEED")</f>
        <v>READY</v>
      </c>
      <c r="N112" s="31"/>
      <c r="O112" s="31"/>
      <c r="P112" s="31"/>
    </row>
    <row r="113" spans="1:16" ht="44.4">
      <c r="A113" s="12">
        <v>84</v>
      </c>
      <c r="B113" s="15" t="str">
        <f>"*" &amp; Table1[[#This Row],[FIND NO]] &amp; "*"</f>
        <v>*84*</v>
      </c>
      <c r="C113" s="29"/>
      <c r="D113" s="30"/>
      <c r="E113" s="30"/>
      <c r="F113" s="30"/>
      <c r="G113" s="30"/>
      <c r="H113" s="31">
        <f>$B$4*Table1[[#This Row],[QTY]]</f>
        <v>0</v>
      </c>
      <c r="I113" s="31"/>
      <c r="J113" s="31">
        <f>Table1[[#This Row],[Need]]+Table1[[#This Row],[Leader Qty]]</f>
        <v>0</v>
      </c>
      <c r="K113" s="31"/>
      <c r="L113" s="31"/>
      <c r="M113" s="31" t="str">
        <f>IF(Table1[[#This Row],[Receive]]&gt;=Table1[[#This Row],[Need]],"READY", "NEED")</f>
        <v>READY</v>
      </c>
      <c r="N113" s="31"/>
      <c r="O113" s="31"/>
      <c r="P113" s="31"/>
    </row>
    <row r="114" spans="1:16" ht="44.4">
      <c r="A114" s="12">
        <v>85</v>
      </c>
      <c r="B114" s="15" t="str">
        <f>"*" &amp; Table1[[#This Row],[FIND NO]] &amp; "*"</f>
        <v>*85*</v>
      </c>
      <c r="C114" s="29"/>
      <c r="D114" s="30"/>
      <c r="E114" s="30"/>
      <c r="F114" s="30"/>
      <c r="G114" s="30"/>
      <c r="H114" s="31">
        <f>$B$4*Table1[[#This Row],[QTY]]</f>
        <v>0</v>
      </c>
      <c r="I114" s="31"/>
      <c r="J114" s="31">
        <f>Table1[[#This Row],[Need]]+Table1[[#This Row],[Leader Qty]]</f>
        <v>0</v>
      </c>
      <c r="K114" s="31"/>
      <c r="L114" s="31"/>
      <c r="M114" s="31" t="str">
        <f>IF(Table1[[#This Row],[Receive]]&gt;=Table1[[#This Row],[Need]],"READY", "NEED")</f>
        <v>READY</v>
      </c>
      <c r="N114" s="31"/>
      <c r="O114" s="31"/>
      <c r="P114" s="31"/>
    </row>
    <row r="115" spans="1:16" ht="44.4">
      <c r="A115" s="12">
        <v>86</v>
      </c>
      <c r="B115" s="15" t="str">
        <f>"*" &amp; Table1[[#This Row],[FIND NO]] &amp; "*"</f>
        <v>*86*</v>
      </c>
      <c r="C115" s="29"/>
      <c r="D115" s="30"/>
      <c r="E115" s="30"/>
      <c r="F115" s="30"/>
      <c r="G115" s="30"/>
      <c r="H115" s="31">
        <f>$B$4*Table1[[#This Row],[QTY]]</f>
        <v>0</v>
      </c>
      <c r="I115" s="31"/>
      <c r="J115" s="31">
        <f>Table1[[#This Row],[Need]]+Table1[[#This Row],[Leader Qty]]</f>
        <v>0</v>
      </c>
      <c r="K115" s="31"/>
      <c r="L115" s="31"/>
      <c r="M115" s="31" t="str">
        <f>IF(Table1[[#This Row],[Receive]]&gt;=Table1[[#This Row],[Need]],"READY", "NEED")</f>
        <v>READY</v>
      </c>
      <c r="N115" s="35"/>
      <c r="O115" s="35"/>
      <c r="P115" s="35"/>
    </row>
    <row r="116" spans="1:16">
      <c r="A116" s="8"/>
      <c r="B116" s="17"/>
      <c r="C116" s="8"/>
      <c r="D116" s="8"/>
      <c r="E116" s="25"/>
      <c r="F116" s="4"/>
      <c r="G116" s="9"/>
      <c r="H116" s="23"/>
      <c r="I116" s="27"/>
    </row>
    <row r="117" spans="1:16">
      <c r="A117" s="5"/>
      <c r="B117" s="13"/>
      <c r="C117" s="14"/>
      <c r="D117" s="5"/>
      <c r="E117" s="5"/>
      <c r="F117" s="6"/>
      <c r="G117" s="7"/>
      <c r="H117" s="24"/>
      <c r="I117" s="27"/>
    </row>
    <row r="118" spans="1:16">
      <c r="A118" s="5"/>
      <c r="B118" s="13"/>
      <c r="C118" s="5"/>
      <c r="D118" s="5"/>
      <c r="E118" s="5"/>
      <c r="F118" s="6"/>
      <c r="G118" s="7"/>
      <c r="H118" s="24"/>
      <c r="I118" s="27"/>
    </row>
    <row r="119" spans="1:16">
      <c r="A119" s="5"/>
      <c r="B119" s="13"/>
      <c r="C119" s="5"/>
      <c r="D119" s="5"/>
      <c r="E119" s="26"/>
      <c r="F119" s="6"/>
      <c r="G119" s="7"/>
      <c r="H119" s="24"/>
      <c r="I119" s="28"/>
    </row>
    <row r="120" spans="1:16">
      <c r="A120" s="5"/>
      <c r="B120" s="13"/>
      <c r="C120" s="5"/>
      <c r="D120" s="5"/>
      <c r="E120" s="5"/>
      <c r="F120" s="6"/>
      <c r="G120" s="7"/>
      <c r="H120" s="24"/>
    </row>
    <row r="121" spans="1:16">
      <c r="A121" s="5"/>
      <c r="B121" s="13"/>
      <c r="C121" s="5"/>
      <c r="D121" s="5"/>
      <c r="E121" s="5"/>
      <c r="F121" s="6"/>
      <c r="G121" s="7"/>
      <c r="H121" s="24"/>
    </row>
    <row r="122" spans="1:16">
      <c r="C122" s="22"/>
    </row>
  </sheetData>
  <mergeCells count="7">
    <mergeCell ref="A3:D3"/>
    <mergeCell ref="C4:D4"/>
    <mergeCell ref="F3:G3"/>
    <mergeCell ref="F4:G4"/>
    <mergeCell ref="A1:O2"/>
    <mergeCell ref="H3:O3"/>
    <mergeCell ref="H4:O4"/>
  </mergeCells>
  <phoneticPr fontId="27" type="noConversion"/>
  <conditionalFormatting sqref="J7:J115">
    <cfRule type="cellIs" dxfId="2" priority="3" operator="greaterThan">
      <formula>H7</formula>
    </cfRule>
  </conditionalFormatting>
  <conditionalFormatting sqref="M7:O115">
    <cfRule type="containsText" dxfId="1" priority="1" operator="containsText" text="READY">
      <formula>NOT(ISERROR(SEARCH("READY",M7)))</formula>
    </cfRule>
    <cfRule type="containsText" dxfId="0" priority="2" operator="containsText" text="NEED">
      <formula>NOT(ISERROR(SEARCH("NEED",M7)))</formula>
    </cfRule>
  </conditionalFormatting>
  <pageMargins left="0.5" right="0.5" top="0.25" bottom="0.5" header="0" footer="0.25"/>
  <pageSetup scale="45" fitToHeight="11" orientation="landscape" r:id="rId1"/>
  <headerFooter>
    <oddFooter>&amp;L&amp;D&amp;RPage &amp;P of &amp;N</oddFooter>
  </headerFooter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Materials'!Print_Titles</vt:lpstr>
    </vt:vector>
  </TitlesOfParts>
  <Manager/>
  <Company>United States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matthew.t.sargent</dc:creator>
  <cp:keywords/>
  <dc:description/>
  <cp:lastModifiedBy>Sargent, Matthew T CIV USARMY DEVCOM AC (USA)</cp:lastModifiedBy>
  <cp:revision/>
  <cp:lastPrinted>2022-03-30T19:13:50Z</cp:lastPrinted>
  <dcterms:created xsi:type="dcterms:W3CDTF">2015-08-26T12:37:22Z</dcterms:created>
  <dcterms:modified xsi:type="dcterms:W3CDTF">2026-08-19T13:35:03Z</dcterms:modified>
  <cp:category/>
  <cp:contentStatus/>
</cp:coreProperties>
</file>